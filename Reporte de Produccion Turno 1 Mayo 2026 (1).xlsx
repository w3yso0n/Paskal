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skaltechnologies-my.sharepoint.com/personal/supervisorv_paskal-group_com/Documents/Desktop/Moran/"/>
    </mc:Choice>
  </mc:AlternateContent>
  <xr:revisionPtr revIDLastSave="1393" documentId="8_{3DFC871D-69BD-48B9-A419-8E45D1B37B90}" xr6:coauthVersionLast="47" xr6:coauthVersionMax="47" xr10:uidLastSave="{5E2D6330-15E1-4EA8-855F-07F840FB330E}"/>
  <bookViews>
    <workbookView xWindow="-110" yWindow="-110" windowWidth="19420" windowHeight="10300" firstSheet="6" activeTab="9" xr2:uid="{B58902A9-9950-49C2-8B71-A83444BAB7AE}"/>
  </bookViews>
  <sheets>
    <sheet name="04 MAYO 2026" sheetId="1" r:id="rId1"/>
    <sheet name="05 MAYO 2026" sheetId="2" r:id="rId2"/>
    <sheet name="06 MAYO 2026" sheetId="3" r:id="rId3"/>
    <sheet name="07 MAYO 2026" sheetId="4" r:id="rId4"/>
    <sheet name="08 MAYO 2026 " sheetId="5" r:id="rId5"/>
    <sheet name="11 MAYO 2026 " sheetId="6" r:id="rId6"/>
    <sheet name="12 MAYO 2026 " sheetId="7" r:id="rId7"/>
    <sheet name="13 MAYO 2026 " sheetId="8" r:id="rId8"/>
    <sheet name="14 MAYO 2026 " sheetId="9" r:id="rId9"/>
    <sheet name="15 MAYO 2026 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2" i="10" l="1"/>
  <c r="H52" i="10" s="1"/>
  <c r="F55" i="10"/>
  <c r="F51" i="10"/>
  <c r="F50" i="10"/>
  <c r="H50" i="10" s="1"/>
  <c r="F49" i="10"/>
  <c r="F48" i="10"/>
  <c r="H48" i="10" s="1"/>
  <c r="F47" i="10"/>
  <c r="H47" i="10" s="1"/>
  <c r="F46" i="10"/>
  <c r="H46" i="10" s="1"/>
  <c r="N56" i="10"/>
  <c r="N57" i="10"/>
  <c r="N58" i="10"/>
  <c r="L6" i="10"/>
  <c r="M6" i="10" s="1"/>
  <c r="N6" i="10"/>
  <c r="O6" i="10"/>
  <c r="L7" i="10"/>
  <c r="M7" i="10" s="1"/>
  <c r="N7" i="10"/>
  <c r="O7" i="10"/>
  <c r="L8" i="10"/>
  <c r="M8" i="10" s="1"/>
  <c r="N8" i="10"/>
  <c r="O8" i="10"/>
  <c r="L9" i="10"/>
  <c r="M9" i="10" s="1"/>
  <c r="N9" i="10"/>
  <c r="O9" i="10"/>
  <c r="L10" i="10"/>
  <c r="M10" i="10" s="1"/>
  <c r="N10" i="10"/>
  <c r="O10" i="10"/>
  <c r="L11" i="10"/>
  <c r="M11" i="10"/>
  <c r="N11" i="10"/>
  <c r="O11" i="10"/>
  <c r="L12" i="10"/>
  <c r="M12" i="10" s="1"/>
  <c r="N12" i="10"/>
  <c r="O12" i="10"/>
  <c r="L13" i="10"/>
  <c r="M13" i="10" s="1"/>
  <c r="N13" i="10"/>
  <c r="O13" i="10"/>
  <c r="L14" i="10"/>
  <c r="M14" i="10" s="1"/>
  <c r="N14" i="10"/>
  <c r="O14" i="10"/>
  <c r="L15" i="10"/>
  <c r="M15" i="10" s="1"/>
  <c r="N15" i="10"/>
  <c r="O15" i="10"/>
  <c r="L16" i="10"/>
  <c r="M16" i="10"/>
  <c r="N16" i="10"/>
  <c r="O16" i="10"/>
  <c r="L17" i="10"/>
  <c r="M17" i="10" s="1"/>
  <c r="N17" i="10"/>
  <c r="O17" i="10"/>
  <c r="L18" i="10"/>
  <c r="M18" i="10" s="1"/>
  <c r="N18" i="10"/>
  <c r="O18" i="10"/>
  <c r="L19" i="10"/>
  <c r="M19" i="10" s="1"/>
  <c r="N19" i="10"/>
  <c r="O19" i="10"/>
  <c r="L20" i="10"/>
  <c r="M20" i="10" s="1"/>
  <c r="N20" i="10"/>
  <c r="O20" i="10"/>
  <c r="L21" i="10"/>
  <c r="M21" i="10" s="1"/>
  <c r="N21" i="10"/>
  <c r="O21" i="10"/>
  <c r="L22" i="10"/>
  <c r="M22" i="10"/>
  <c r="N22" i="10"/>
  <c r="O22" i="10"/>
  <c r="L23" i="10"/>
  <c r="M23" i="10" s="1"/>
  <c r="N23" i="10"/>
  <c r="O23" i="10"/>
  <c r="L24" i="10"/>
  <c r="M24" i="10" s="1"/>
  <c r="N24" i="10"/>
  <c r="O24" i="10"/>
  <c r="L25" i="10"/>
  <c r="M25" i="10"/>
  <c r="N25" i="10"/>
  <c r="O25" i="10"/>
  <c r="L26" i="10"/>
  <c r="M26" i="10"/>
  <c r="N26" i="10"/>
  <c r="O26" i="10"/>
  <c r="L27" i="10"/>
  <c r="M27" i="10" s="1"/>
  <c r="N27" i="10"/>
  <c r="O27" i="10"/>
  <c r="L28" i="10"/>
  <c r="M28" i="10"/>
  <c r="N28" i="10"/>
  <c r="O28" i="10"/>
  <c r="L29" i="10"/>
  <c r="M29" i="10" s="1"/>
  <c r="N29" i="10"/>
  <c r="O29" i="10"/>
  <c r="L30" i="10"/>
  <c r="M30" i="10" s="1"/>
  <c r="N30" i="10"/>
  <c r="O30" i="10"/>
  <c r="L31" i="10"/>
  <c r="M31" i="10" s="1"/>
  <c r="N31" i="10"/>
  <c r="O31" i="10"/>
  <c r="L32" i="10"/>
  <c r="M32" i="10" s="1"/>
  <c r="N32" i="10"/>
  <c r="O32" i="10"/>
  <c r="L33" i="10"/>
  <c r="M33" i="10" s="1"/>
  <c r="N33" i="10"/>
  <c r="O33" i="10"/>
  <c r="L34" i="10"/>
  <c r="M34" i="10" s="1"/>
  <c r="N34" i="10"/>
  <c r="O34" i="10"/>
  <c r="L35" i="10"/>
  <c r="M35" i="10" s="1"/>
  <c r="N35" i="10"/>
  <c r="O35" i="10"/>
  <c r="L36" i="10"/>
  <c r="M36" i="10" s="1"/>
  <c r="N36" i="10"/>
  <c r="O36" i="10"/>
  <c r="L37" i="10"/>
  <c r="M37" i="10"/>
  <c r="N37" i="10"/>
  <c r="O37" i="10"/>
  <c r="L38" i="10"/>
  <c r="M38" i="10" s="1"/>
  <c r="N38" i="10"/>
  <c r="O38" i="10"/>
  <c r="L39" i="10"/>
  <c r="M39" i="10" s="1"/>
  <c r="N39" i="10"/>
  <c r="O39" i="10"/>
  <c r="L40" i="10"/>
  <c r="M40" i="10"/>
  <c r="N40" i="10"/>
  <c r="O40" i="10"/>
  <c r="I6" i="10"/>
  <c r="I7" i="10"/>
  <c r="I8" i="10"/>
  <c r="I9" i="10"/>
  <c r="I10" i="10"/>
  <c r="I11" i="10"/>
  <c r="I12" i="10"/>
  <c r="I13" i="10"/>
  <c r="I14" i="10"/>
  <c r="I15" i="10"/>
  <c r="I16" i="10"/>
  <c r="G6" i="10"/>
  <c r="G8" i="10"/>
  <c r="G9" i="10"/>
  <c r="G20" i="10"/>
  <c r="I20" i="10"/>
  <c r="G19" i="10"/>
  <c r="I19" i="10"/>
  <c r="G39" i="10"/>
  <c r="I39" i="10"/>
  <c r="G36" i="10"/>
  <c r="I36" i="10"/>
  <c r="G27" i="10"/>
  <c r="I27" i="10"/>
  <c r="G18" i="10"/>
  <c r="I18" i="10"/>
  <c r="G16" i="10"/>
  <c r="G15" i="10"/>
  <c r="L59" i="10"/>
  <c r="H58" i="10"/>
  <c r="H56" i="10"/>
  <c r="N55" i="10"/>
  <c r="H55" i="10"/>
  <c r="H54" i="10"/>
  <c r="H53" i="10"/>
  <c r="H51" i="10"/>
  <c r="N49" i="10"/>
  <c r="H49" i="10"/>
  <c r="N48" i="10"/>
  <c r="N47" i="10"/>
  <c r="N46" i="10"/>
  <c r="E42" i="10"/>
  <c r="I40" i="10"/>
  <c r="G40" i="10"/>
  <c r="I38" i="10"/>
  <c r="G38" i="10"/>
  <c r="I37" i="10"/>
  <c r="G37" i="10"/>
  <c r="I35" i="10"/>
  <c r="G35" i="10"/>
  <c r="I34" i="10"/>
  <c r="G34" i="10"/>
  <c r="I33" i="10"/>
  <c r="G33" i="10"/>
  <c r="I32" i="10"/>
  <c r="G32" i="10"/>
  <c r="I31" i="10"/>
  <c r="G31" i="10"/>
  <c r="I30" i="10"/>
  <c r="G30" i="10"/>
  <c r="I29" i="10"/>
  <c r="G29" i="10"/>
  <c r="I28" i="10"/>
  <c r="G28" i="10"/>
  <c r="I26" i="10"/>
  <c r="G26" i="10"/>
  <c r="I25" i="10"/>
  <c r="G25" i="10"/>
  <c r="I24" i="10"/>
  <c r="G24" i="10"/>
  <c r="I23" i="10"/>
  <c r="G23" i="10"/>
  <c r="I22" i="10"/>
  <c r="G22" i="10"/>
  <c r="I21" i="10"/>
  <c r="G21" i="10"/>
  <c r="I17" i="10"/>
  <c r="G17" i="10"/>
  <c r="G14" i="10"/>
  <c r="G13" i="10"/>
  <c r="G12" i="10"/>
  <c r="G11" i="10"/>
  <c r="G10" i="10"/>
  <c r="O5" i="10"/>
  <c r="N5" i="10"/>
  <c r="L5" i="10"/>
  <c r="M5" i="10" s="1"/>
  <c r="I5" i="10"/>
  <c r="G5" i="10"/>
  <c r="I8" i="9"/>
  <c r="I9" i="9"/>
  <c r="I10" i="9"/>
  <c r="I11" i="9"/>
  <c r="I12" i="9"/>
  <c r="I13" i="9"/>
  <c r="I14" i="9"/>
  <c r="L8" i="9"/>
  <c r="M8" i="9"/>
  <c r="N8" i="9"/>
  <c r="O8" i="9"/>
  <c r="L9" i="9"/>
  <c r="M9" i="9"/>
  <c r="N9" i="9"/>
  <c r="O9" i="9"/>
  <c r="L10" i="9"/>
  <c r="M10" i="9"/>
  <c r="N10" i="9"/>
  <c r="O10" i="9"/>
  <c r="L11" i="9"/>
  <c r="M11" i="9"/>
  <c r="N11" i="9"/>
  <c r="O11" i="9"/>
  <c r="L12" i="9"/>
  <c r="M12" i="9"/>
  <c r="N12" i="9"/>
  <c r="O12" i="9"/>
  <c r="L13" i="9"/>
  <c r="M13" i="9"/>
  <c r="N13" i="9"/>
  <c r="O13" i="9"/>
  <c r="L14" i="9"/>
  <c r="M14" i="9"/>
  <c r="N14" i="9"/>
  <c r="O14" i="9"/>
  <c r="L15" i="9"/>
  <c r="M15" i="9"/>
  <c r="N15" i="9"/>
  <c r="O15" i="9"/>
  <c r="L16" i="9"/>
  <c r="M16" i="9"/>
  <c r="N16" i="9"/>
  <c r="O16" i="9"/>
  <c r="L17" i="9"/>
  <c r="M17" i="9"/>
  <c r="N17" i="9"/>
  <c r="O17" i="9"/>
  <c r="L18" i="9"/>
  <c r="M18" i="9"/>
  <c r="N18" i="9"/>
  <c r="O18" i="9"/>
  <c r="L19" i="9"/>
  <c r="M19" i="9"/>
  <c r="N19" i="9"/>
  <c r="O19" i="9"/>
  <c r="L20" i="9"/>
  <c r="M20" i="9"/>
  <c r="N20" i="9"/>
  <c r="O20" i="9"/>
  <c r="L21" i="9"/>
  <c r="M21" i="9"/>
  <c r="N21" i="9"/>
  <c r="O21" i="9"/>
  <c r="L22" i="9"/>
  <c r="M22" i="9"/>
  <c r="N22" i="9"/>
  <c r="O22" i="9"/>
  <c r="L23" i="9"/>
  <c r="M23" i="9"/>
  <c r="N23" i="9"/>
  <c r="O23" i="9"/>
  <c r="L24" i="9"/>
  <c r="M24" i="9"/>
  <c r="N24" i="9"/>
  <c r="O24" i="9"/>
  <c r="L25" i="9"/>
  <c r="M25" i="9"/>
  <c r="N25" i="9"/>
  <c r="O25" i="9"/>
  <c r="L26" i="9"/>
  <c r="M26" i="9"/>
  <c r="N26" i="9"/>
  <c r="O26" i="9"/>
  <c r="L27" i="9"/>
  <c r="M27" i="9"/>
  <c r="N27" i="9"/>
  <c r="O27" i="9"/>
  <c r="L28" i="9"/>
  <c r="M28" i="9"/>
  <c r="N28" i="9"/>
  <c r="O28" i="9"/>
  <c r="L29" i="9"/>
  <c r="M29" i="9"/>
  <c r="N29" i="9"/>
  <c r="O29" i="9"/>
  <c r="L30" i="9"/>
  <c r="M30" i="9"/>
  <c r="N30" i="9"/>
  <c r="O30" i="9"/>
  <c r="L31" i="9"/>
  <c r="M31" i="9"/>
  <c r="N31" i="9"/>
  <c r="O31" i="9"/>
  <c r="L32" i="9"/>
  <c r="M32" i="9"/>
  <c r="N32" i="9"/>
  <c r="O32" i="9"/>
  <c r="L33" i="9"/>
  <c r="M33" i="9"/>
  <c r="N33" i="9"/>
  <c r="O33" i="9"/>
  <c r="L34" i="9"/>
  <c r="M34" i="9"/>
  <c r="N34" i="9"/>
  <c r="O34" i="9"/>
  <c r="L35" i="9"/>
  <c r="M35" i="9"/>
  <c r="N35" i="9"/>
  <c r="O35" i="9"/>
  <c r="F51" i="9"/>
  <c r="H51" i="9" s="1"/>
  <c r="F50" i="9"/>
  <c r="F48" i="9"/>
  <c r="H48" i="9" s="1"/>
  <c r="F47" i="9"/>
  <c r="H47" i="9" s="1"/>
  <c r="F46" i="9"/>
  <c r="H46" i="9" s="1"/>
  <c r="F45" i="9"/>
  <c r="H45" i="9" s="1"/>
  <c r="F44" i="9"/>
  <c r="H44" i="9" s="1"/>
  <c r="F43" i="9"/>
  <c r="H43" i="9" s="1"/>
  <c r="F42" i="9"/>
  <c r="H42" i="9" s="1"/>
  <c r="F41" i="9"/>
  <c r="G6" i="9"/>
  <c r="G7" i="9"/>
  <c r="G8" i="9"/>
  <c r="G9" i="9"/>
  <c r="G10" i="9"/>
  <c r="G11" i="9"/>
  <c r="G12" i="9"/>
  <c r="G13" i="9"/>
  <c r="G14" i="9"/>
  <c r="G15" i="9"/>
  <c r="G16" i="9"/>
  <c r="G29" i="9"/>
  <c r="I29" i="9"/>
  <c r="G27" i="9"/>
  <c r="I27" i="9"/>
  <c r="G24" i="9"/>
  <c r="I24" i="9"/>
  <c r="L53" i="9"/>
  <c r="N52" i="9"/>
  <c r="H52" i="9"/>
  <c r="N51" i="9"/>
  <c r="N50" i="9"/>
  <c r="H50" i="9"/>
  <c r="H49" i="9"/>
  <c r="N44" i="9"/>
  <c r="N43" i="9"/>
  <c r="N42" i="9"/>
  <c r="N41" i="9"/>
  <c r="N45" i="9" s="1"/>
  <c r="E37" i="9"/>
  <c r="I35" i="9"/>
  <c r="G35" i="9"/>
  <c r="I34" i="9"/>
  <c r="G34" i="9"/>
  <c r="I33" i="9"/>
  <c r="G33" i="9"/>
  <c r="I32" i="9"/>
  <c r="G32" i="9"/>
  <c r="I31" i="9"/>
  <c r="G31" i="9"/>
  <c r="I30" i="9"/>
  <c r="G30" i="9"/>
  <c r="I28" i="9"/>
  <c r="G28" i="9"/>
  <c r="I26" i="9"/>
  <c r="G26" i="9"/>
  <c r="I25" i="9"/>
  <c r="G25" i="9"/>
  <c r="I23" i="9"/>
  <c r="G23" i="9"/>
  <c r="I22" i="9"/>
  <c r="G22" i="9"/>
  <c r="I21" i="9"/>
  <c r="G21" i="9"/>
  <c r="I20" i="9"/>
  <c r="G20" i="9"/>
  <c r="I19" i="9"/>
  <c r="G19" i="9"/>
  <c r="I18" i="9"/>
  <c r="G18" i="9"/>
  <c r="I17" i="9"/>
  <c r="G17" i="9"/>
  <c r="I16" i="9"/>
  <c r="I15" i="9"/>
  <c r="O7" i="9"/>
  <c r="N7" i="9"/>
  <c r="L7" i="9"/>
  <c r="M7" i="9" s="1"/>
  <c r="I7" i="9"/>
  <c r="O6" i="9"/>
  <c r="N6" i="9"/>
  <c r="L6" i="9"/>
  <c r="M6" i="9" s="1"/>
  <c r="I6" i="9"/>
  <c r="O5" i="9"/>
  <c r="N5" i="9"/>
  <c r="L5" i="9"/>
  <c r="M5" i="9" s="1"/>
  <c r="I5" i="9"/>
  <c r="G5" i="9"/>
  <c r="N50" i="10" l="1"/>
  <c r="N59" i="10"/>
  <c r="O42" i="10"/>
  <c r="G42" i="10"/>
  <c r="G59" i="10"/>
  <c r="N42" i="10"/>
  <c r="H59" i="10"/>
  <c r="N53" i="9"/>
  <c r="O37" i="9"/>
  <c r="N37" i="9"/>
  <c r="G53" i="9"/>
  <c r="G37" i="9"/>
  <c r="H41" i="9"/>
  <c r="H53" i="9" s="1"/>
  <c r="L6" i="8"/>
  <c r="M6" i="8" s="1"/>
  <c r="N6" i="8"/>
  <c r="O6" i="8"/>
  <c r="L7" i="8"/>
  <c r="M7" i="8"/>
  <c r="N7" i="8"/>
  <c r="O7" i="8"/>
  <c r="L8" i="8"/>
  <c r="M8" i="8"/>
  <c r="N8" i="8"/>
  <c r="O8" i="8"/>
  <c r="L9" i="8"/>
  <c r="M9" i="8" s="1"/>
  <c r="N9" i="8"/>
  <c r="O9" i="8"/>
  <c r="L10" i="8"/>
  <c r="M10" i="8"/>
  <c r="N10" i="8"/>
  <c r="O10" i="8"/>
  <c r="L11" i="8"/>
  <c r="M11" i="8"/>
  <c r="N11" i="8"/>
  <c r="O11" i="8"/>
  <c r="L12" i="8"/>
  <c r="M12" i="8" s="1"/>
  <c r="N12" i="8"/>
  <c r="O12" i="8"/>
  <c r="L13" i="8"/>
  <c r="M13" i="8"/>
  <c r="N13" i="8"/>
  <c r="O13" i="8"/>
  <c r="L14" i="8"/>
  <c r="M14" i="8"/>
  <c r="N14" i="8"/>
  <c r="O14" i="8"/>
  <c r="L15" i="8"/>
  <c r="M15" i="8" s="1"/>
  <c r="N15" i="8"/>
  <c r="O15" i="8"/>
  <c r="L16" i="8"/>
  <c r="M16" i="8"/>
  <c r="N16" i="8"/>
  <c r="O16" i="8"/>
  <c r="L17" i="8"/>
  <c r="M17" i="8"/>
  <c r="N17" i="8"/>
  <c r="O17" i="8"/>
  <c r="L18" i="8"/>
  <c r="M18" i="8" s="1"/>
  <c r="N18" i="8"/>
  <c r="O18" i="8"/>
  <c r="L19" i="8"/>
  <c r="M19" i="8"/>
  <c r="N19" i="8"/>
  <c r="O19" i="8"/>
  <c r="L20" i="8"/>
  <c r="M20" i="8"/>
  <c r="N20" i="8"/>
  <c r="O20" i="8"/>
  <c r="L21" i="8"/>
  <c r="M21" i="8" s="1"/>
  <c r="N21" i="8"/>
  <c r="O21" i="8"/>
  <c r="L22" i="8"/>
  <c r="M22" i="8"/>
  <c r="N22" i="8"/>
  <c r="O22" i="8"/>
  <c r="L23" i="8"/>
  <c r="M23" i="8"/>
  <c r="N23" i="8"/>
  <c r="O23" i="8"/>
  <c r="L24" i="8"/>
  <c r="M24" i="8" s="1"/>
  <c r="N24" i="8"/>
  <c r="O24" i="8"/>
  <c r="L25" i="8"/>
  <c r="M25" i="8"/>
  <c r="N25" i="8"/>
  <c r="O25" i="8"/>
  <c r="L26" i="8"/>
  <c r="M26" i="8"/>
  <c r="N26" i="8"/>
  <c r="O26" i="8"/>
  <c r="L27" i="8"/>
  <c r="M27" i="8" s="1"/>
  <c r="N27" i="8"/>
  <c r="O27" i="8"/>
  <c r="L28" i="8"/>
  <c r="M28" i="8"/>
  <c r="N28" i="8"/>
  <c r="O28" i="8"/>
  <c r="L29" i="8"/>
  <c r="M29" i="8"/>
  <c r="N29" i="8"/>
  <c r="O29" i="8"/>
  <c r="L30" i="8"/>
  <c r="M30" i="8" s="1"/>
  <c r="N30" i="8"/>
  <c r="O30" i="8"/>
  <c r="L31" i="8"/>
  <c r="M31" i="8"/>
  <c r="N31" i="8"/>
  <c r="O31" i="8"/>
  <c r="L32" i="8"/>
  <c r="M32" i="8"/>
  <c r="N32" i="8"/>
  <c r="O32" i="8"/>
  <c r="L33" i="8"/>
  <c r="M33" i="8" s="1"/>
  <c r="N33" i="8"/>
  <c r="O33" i="8"/>
  <c r="L34" i="8"/>
  <c r="M34" i="8"/>
  <c r="N34" i="8"/>
  <c r="O34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F40" i="8"/>
  <c r="F49" i="8"/>
  <c r="H49" i="8" s="1"/>
  <c r="F47" i="8"/>
  <c r="H47" i="8" s="1"/>
  <c r="F46" i="8"/>
  <c r="H46" i="8" s="1"/>
  <c r="F45" i="8"/>
  <c r="H45" i="8" s="1"/>
  <c r="F44" i="8"/>
  <c r="H44" i="8" s="1"/>
  <c r="F43" i="8"/>
  <c r="F42" i="8"/>
  <c r="F41" i="8"/>
  <c r="H41" i="8" s="1"/>
  <c r="H50" i="8"/>
  <c r="H43" i="8"/>
  <c r="G6" i="8"/>
  <c r="G7" i="8"/>
  <c r="G8" i="8"/>
  <c r="G18" i="8"/>
  <c r="L52" i="8"/>
  <c r="N51" i="8"/>
  <c r="H51" i="8"/>
  <c r="N50" i="8"/>
  <c r="N49" i="8"/>
  <c r="H48" i="8"/>
  <c r="N43" i="8"/>
  <c r="N42" i="8"/>
  <c r="H42" i="8"/>
  <c r="N41" i="8"/>
  <c r="N40" i="8"/>
  <c r="E36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7" i="8"/>
  <c r="G16" i="8"/>
  <c r="G15" i="8"/>
  <c r="G14" i="8"/>
  <c r="G13" i="8"/>
  <c r="G12" i="8"/>
  <c r="G11" i="8"/>
  <c r="G10" i="8"/>
  <c r="G9" i="8"/>
  <c r="O5" i="8"/>
  <c r="N5" i="8"/>
  <c r="L5" i="8"/>
  <c r="M5" i="8" s="1"/>
  <c r="I5" i="8"/>
  <c r="G5" i="8"/>
  <c r="F55" i="7"/>
  <c r="F56" i="7"/>
  <c r="F54" i="7"/>
  <c r="F53" i="7"/>
  <c r="F52" i="7"/>
  <c r="F51" i="7"/>
  <c r="F50" i="7"/>
  <c r="F49" i="7"/>
  <c r="F48" i="7"/>
  <c r="F47" i="7"/>
  <c r="F46" i="7"/>
  <c r="L7" i="7"/>
  <c r="M7" i="7"/>
  <c r="N7" i="7"/>
  <c r="O7" i="7"/>
  <c r="L8" i="7"/>
  <c r="M8" i="7"/>
  <c r="N8" i="7"/>
  <c r="O8" i="7"/>
  <c r="L9" i="7"/>
  <c r="M9" i="7"/>
  <c r="N9" i="7"/>
  <c r="O9" i="7"/>
  <c r="L10" i="7"/>
  <c r="M10" i="7"/>
  <c r="N10" i="7"/>
  <c r="O10" i="7"/>
  <c r="L11" i="7"/>
  <c r="M11" i="7"/>
  <c r="N11" i="7"/>
  <c r="O11" i="7"/>
  <c r="L12" i="7"/>
  <c r="M12" i="7"/>
  <c r="N12" i="7"/>
  <c r="O12" i="7"/>
  <c r="L13" i="7"/>
  <c r="M13" i="7"/>
  <c r="N13" i="7"/>
  <c r="O13" i="7"/>
  <c r="L14" i="7"/>
  <c r="M14" i="7"/>
  <c r="N14" i="7"/>
  <c r="O14" i="7"/>
  <c r="L15" i="7"/>
  <c r="M15" i="7"/>
  <c r="N15" i="7"/>
  <c r="O15" i="7"/>
  <c r="L16" i="7"/>
  <c r="M16" i="7"/>
  <c r="N16" i="7"/>
  <c r="O16" i="7"/>
  <c r="L17" i="7"/>
  <c r="M17" i="7"/>
  <c r="N17" i="7"/>
  <c r="O17" i="7"/>
  <c r="L18" i="7"/>
  <c r="M18" i="7"/>
  <c r="N18" i="7"/>
  <c r="O18" i="7"/>
  <c r="L19" i="7"/>
  <c r="M19" i="7"/>
  <c r="N19" i="7"/>
  <c r="O19" i="7"/>
  <c r="L20" i="7"/>
  <c r="M20" i="7"/>
  <c r="N20" i="7"/>
  <c r="O20" i="7"/>
  <c r="L21" i="7"/>
  <c r="M21" i="7"/>
  <c r="N21" i="7"/>
  <c r="O21" i="7"/>
  <c r="L22" i="7"/>
  <c r="M22" i="7"/>
  <c r="N22" i="7"/>
  <c r="O22" i="7"/>
  <c r="L23" i="7"/>
  <c r="M23" i="7"/>
  <c r="N23" i="7"/>
  <c r="O23" i="7"/>
  <c r="L24" i="7"/>
  <c r="M24" i="7"/>
  <c r="N24" i="7"/>
  <c r="O24" i="7"/>
  <c r="L25" i="7"/>
  <c r="M25" i="7"/>
  <c r="N25" i="7"/>
  <c r="O25" i="7"/>
  <c r="L26" i="7"/>
  <c r="M26" i="7"/>
  <c r="N26" i="7"/>
  <c r="O26" i="7"/>
  <c r="L27" i="7"/>
  <c r="M27" i="7"/>
  <c r="N27" i="7"/>
  <c r="O27" i="7"/>
  <c r="L28" i="7"/>
  <c r="M28" i="7"/>
  <c r="N28" i="7"/>
  <c r="O28" i="7"/>
  <c r="L29" i="7"/>
  <c r="M29" i="7"/>
  <c r="N29" i="7"/>
  <c r="O29" i="7"/>
  <c r="L30" i="7"/>
  <c r="M30" i="7"/>
  <c r="N30" i="7"/>
  <c r="O30" i="7"/>
  <c r="L31" i="7"/>
  <c r="M31" i="7"/>
  <c r="N31" i="7"/>
  <c r="O31" i="7"/>
  <c r="L32" i="7"/>
  <c r="M32" i="7"/>
  <c r="N32" i="7"/>
  <c r="O32" i="7"/>
  <c r="L33" i="7"/>
  <c r="M33" i="7"/>
  <c r="N33" i="7"/>
  <c r="O33" i="7"/>
  <c r="L34" i="7"/>
  <c r="M34" i="7"/>
  <c r="N34" i="7"/>
  <c r="O34" i="7"/>
  <c r="L35" i="7"/>
  <c r="M35" i="7"/>
  <c r="N35" i="7"/>
  <c r="O35" i="7"/>
  <c r="L36" i="7"/>
  <c r="M36" i="7"/>
  <c r="N36" i="7"/>
  <c r="O36" i="7"/>
  <c r="L37" i="7"/>
  <c r="M37" i="7"/>
  <c r="N37" i="7"/>
  <c r="O37" i="7"/>
  <c r="L38" i="7"/>
  <c r="M38" i="7"/>
  <c r="N38" i="7"/>
  <c r="O38" i="7"/>
  <c r="L39" i="7"/>
  <c r="M39" i="7"/>
  <c r="N39" i="7"/>
  <c r="O39" i="7"/>
  <c r="L40" i="7"/>
  <c r="M40" i="7"/>
  <c r="N40" i="7"/>
  <c r="O40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16" i="7"/>
  <c r="I17" i="7"/>
  <c r="I18" i="7"/>
  <c r="I19" i="7"/>
  <c r="I20" i="7"/>
  <c r="I21" i="7"/>
  <c r="I22" i="7"/>
  <c r="I23" i="7"/>
  <c r="I24" i="7"/>
  <c r="I25" i="7"/>
  <c r="I26" i="7"/>
  <c r="I6" i="7"/>
  <c r="I7" i="7"/>
  <c r="I8" i="7"/>
  <c r="I9" i="7"/>
  <c r="I10" i="7"/>
  <c r="I11" i="7"/>
  <c r="I12" i="7"/>
  <c r="I13" i="7"/>
  <c r="I14" i="7"/>
  <c r="I15" i="7"/>
  <c r="G6" i="7"/>
  <c r="G7" i="7"/>
  <c r="G8" i="7"/>
  <c r="G9" i="7"/>
  <c r="G10" i="7"/>
  <c r="G11" i="7"/>
  <c r="G12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21" i="7"/>
  <c r="G16" i="7"/>
  <c r="P42" i="10" l="1"/>
  <c r="P37" i="9"/>
  <c r="O36" i="8"/>
  <c r="N44" i="8"/>
  <c r="N52" i="8"/>
  <c r="G52" i="8"/>
  <c r="N36" i="8"/>
  <c r="G36" i="8"/>
  <c r="H40" i="8"/>
  <c r="H52" i="8" s="1"/>
  <c r="L58" i="7"/>
  <c r="N57" i="7"/>
  <c r="H57" i="7"/>
  <c r="N56" i="7"/>
  <c r="H56" i="7"/>
  <c r="N55" i="7"/>
  <c r="H55" i="7"/>
  <c r="H54" i="7"/>
  <c r="H53" i="7"/>
  <c r="H52" i="7"/>
  <c r="H51" i="7"/>
  <c r="H50" i="7"/>
  <c r="N49" i="7"/>
  <c r="H49" i="7"/>
  <c r="N48" i="7"/>
  <c r="H48" i="7"/>
  <c r="N47" i="7"/>
  <c r="N46" i="7"/>
  <c r="N50" i="7" s="1"/>
  <c r="H46" i="7"/>
  <c r="E42" i="7"/>
  <c r="G26" i="7"/>
  <c r="G25" i="7"/>
  <c r="G24" i="7"/>
  <c r="G23" i="7"/>
  <c r="G22" i="7"/>
  <c r="G20" i="7"/>
  <c r="G19" i="7"/>
  <c r="G18" i="7"/>
  <c r="G17" i="7"/>
  <c r="G15" i="7"/>
  <c r="G14" i="7"/>
  <c r="G13" i="7"/>
  <c r="O6" i="7"/>
  <c r="N6" i="7"/>
  <c r="L6" i="7"/>
  <c r="M6" i="7" s="1"/>
  <c r="O5" i="7"/>
  <c r="N5" i="7"/>
  <c r="L5" i="7"/>
  <c r="M5" i="7" s="1"/>
  <c r="I5" i="7"/>
  <c r="G5" i="7"/>
  <c r="L11" i="6"/>
  <c r="M11" i="6"/>
  <c r="N11" i="6"/>
  <c r="O11" i="6"/>
  <c r="L12" i="6"/>
  <c r="M12" i="6"/>
  <c r="N12" i="6"/>
  <c r="O12" i="6"/>
  <c r="L13" i="6"/>
  <c r="M13" i="6"/>
  <c r="N13" i="6"/>
  <c r="O13" i="6"/>
  <c r="L14" i="6"/>
  <c r="M14" i="6"/>
  <c r="N14" i="6"/>
  <c r="O14" i="6"/>
  <c r="L15" i="6"/>
  <c r="M15" i="6"/>
  <c r="N15" i="6"/>
  <c r="O15" i="6"/>
  <c r="L16" i="6"/>
  <c r="M16" i="6"/>
  <c r="N16" i="6"/>
  <c r="O16" i="6"/>
  <c r="L17" i="6"/>
  <c r="M17" i="6"/>
  <c r="N17" i="6"/>
  <c r="O17" i="6"/>
  <c r="L18" i="6"/>
  <c r="M18" i="6"/>
  <c r="N18" i="6"/>
  <c r="O18" i="6"/>
  <c r="L19" i="6"/>
  <c r="M19" i="6"/>
  <c r="N19" i="6"/>
  <c r="O19" i="6"/>
  <c r="L20" i="6"/>
  <c r="M20" i="6"/>
  <c r="N20" i="6"/>
  <c r="O20" i="6"/>
  <c r="L21" i="6"/>
  <c r="M21" i="6"/>
  <c r="N21" i="6"/>
  <c r="O21" i="6"/>
  <c r="L22" i="6"/>
  <c r="M22" i="6"/>
  <c r="N22" i="6"/>
  <c r="O22" i="6"/>
  <c r="L23" i="6"/>
  <c r="M23" i="6"/>
  <c r="N23" i="6"/>
  <c r="O23" i="6"/>
  <c r="L24" i="6"/>
  <c r="M24" i="6"/>
  <c r="N24" i="6"/>
  <c r="O24" i="6"/>
  <c r="L25" i="6"/>
  <c r="M25" i="6"/>
  <c r="N25" i="6"/>
  <c r="O25" i="6"/>
  <c r="L26" i="6"/>
  <c r="M26" i="6"/>
  <c r="N26" i="6"/>
  <c r="O26" i="6"/>
  <c r="L27" i="6"/>
  <c r="M27" i="6"/>
  <c r="N27" i="6"/>
  <c r="O27" i="6"/>
  <c r="L28" i="6"/>
  <c r="M28" i="6"/>
  <c r="N28" i="6"/>
  <c r="O28" i="6"/>
  <c r="L29" i="6"/>
  <c r="M29" i="6"/>
  <c r="N29" i="6"/>
  <c r="O29" i="6"/>
  <c r="L30" i="6"/>
  <c r="M30" i="6"/>
  <c r="N30" i="6"/>
  <c r="O30" i="6"/>
  <c r="I22" i="6"/>
  <c r="I23" i="6"/>
  <c r="I24" i="6"/>
  <c r="G20" i="6"/>
  <c r="G21" i="6"/>
  <c r="G22" i="6"/>
  <c r="G23" i="6"/>
  <c r="G24" i="6"/>
  <c r="G25" i="6"/>
  <c r="G26" i="6"/>
  <c r="F50" i="6"/>
  <c r="H39" i="6"/>
  <c r="H41" i="6"/>
  <c r="H42" i="6"/>
  <c r="H43" i="6"/>
  <c r="H44" i="6"/>
  <c r="H45" i="6"/>
  <c r="H46" i="6"/>
  <c r="F46" i="6"/>
  <c r="F45" i="6"/>
  <c r="F44" i="6"/>
  <c r="F43" i="6"/>
  <c r="F42" i="6"/>
  <c r="F41" i="6"/>
  <c r="F40" i="6"/>
  <c r="H40" i="6" s="1"/>
  <c r="F39" i="6"/>
  <c r="F38" i="6"/>
  <c r="N49" i="6"/>
  <c r="G12" i="6"/>
  <c r="I12" i="6"/>
  <c r="I21" i="6"/>
  <c r="G18" i="6"/>
  <c r="I18" i="6"/>
  <c r="P36" i="8" l="1"/>
  <c r="O42" i="7"/>
  <c r="N58" i="7"/>
  <c r="G58" i="7"/>
  <c r="N42" i="7"/>
  <c r="G42" i="7"/>
  <c r="H47" i="7"/>
  <c r="H58" i="7" s="1"/>
  <c r="I10" i="6"/>
  <c r="L10" i="6"/>
  <c r="M10" i="6"/>
  <c r="N40" i="6"/>
  <c r="L52" i="6"/>
  <c r="N51" i="6"/>
  <c r="H51" i="6"/>
  <c r="N50" i="6"/>
  <c r="H50" i="6"/>
  <c r="N48" i="6"/>
  <c r="H48" i="6"/>
  <c r="H47" i="6"/>
  <c r="N42" i="6"/>
  <c r="N41" i="6"/>
  <c r="N39" i="6"/>
  <c r="N38" i="6"/>
  <c r="E34" i="6"/>
  <c r="O32" i="6"/>
  <c r="N32" i="6"/>
  <c r="L32" i="6"/>
  <c r="M32" i="6" s="1"/>
  <c r="I32" i="6"/>
  <c r="G32" i="6"/>
  <c r="O31" i="6"/>
  <c r="N31" i="6"/>
  <c r="L31" i="6"/>
  <c r="M31" i="6" s="1"/>
  <c r="I31" i="6"/>
  <c r="G31" i="6"/>
  <c r="I30" i="6"/>
  <c r="G30" i="6"/>
  <c r="I29" i="6"/>
  <c r="G29" i="6"/>
  <c r="I28" i="6"/>
  <c r="G28" i="6"/>
  <c r="I27" i="6"/>
  <c r="G27" i="6"/>
  <c r="I26" i="6"/>
  <c r="I25" i="6"/>
  <c r="I20" i="6"/>
  <c r="I19" i="6"/>
  <c r="G19" i="6"/>
  <c r="I17" i="6"/>
  <c r="G17" i="6"/>
  <c r="I16" i="6"/>
  <c r="G16" i="6"/>
  <c r="I15" i="6"/>
  <c r="G15" i="6"/>
  <c r="I14" i="6"/>
  <c r="G14" i="6"/>
  <c r="I13" i="6"/>
  <c r="G13" i="6"/>
  <c r="I11" i="6"/>
  <c r="G11" i="6"/>
  <c r="O10" i="6"/>
  <c r="N10" i="6"/>
  <c r="G10" i="6"/>
  <c r="O9" i="6"/>
  <c r="N9" i="6"/>
  <c r="L9" i="6"/>
  <c r="M9" i="6" s="1"/>
  <c r="I9" i="6"/>
  <c r="G9" i="6"/>
  <c r="O8" i="6"/>
  <c r="N8" i="6"/>
  <c r="L8" i="6"/>
  <c r="M8" i="6" s="1"/>
  <c r="I8" i="6"/>
  <c r="G8" i="6"/>
  <c r="O7" i="6"/>
  <c r="N7" i="6"/>
  <c r="L7" i="6"/>
  <c r="M7" i="6" s="1"/>
  <c r="I7" i="6"/>
  <c r="G7" i="6"/>
  <c r="O6" i="6"/>
  <c r="N6" i="6"/>
  <c r="L6" i="6"/>
  <c r="M6" i="6" s="1"/>
  <c r="I6" i="6"/>
  <c r="G6" i="6"/>
  <c r="O5" i="6"/>
  <c r="N5" i="6"/>
  <c r="L5" i="6"/>
  <c r="M5" i="6" s="1"/>
  <c r="I5" i="6"/>
  <c r="G5" i="6"/>
  <c r="P42" i="7" l="1"/>
  <c r="N43" i="6"/>
  <c r="O34" i="6"/>
  <c r="N52" i="6"/>
  <c r="G52" i="6"/>
  <c r="G34" i="6"/>
  <c r="N34" i="6"/>
  <c r="H38" i="6"/>
  <c r="H52" i="6" s="1"/>
  <c r="P34" i="6" l="1"/>
  <c r="F49" i="5" l="1"/>
  <c r="F48" i="5"/>
  <c r="H48" i="5" s="1"/>
  <c r="F47" i="5"/>
  <c r="F46" i="5"/>
  <c r="F45" i="5"/>
  <c r="H45" i="5" s="1"/>
  <c r="F44" i="5"/>
  <c r="F43" i="5"/>
  <c r="F42" i="5"/>
  <c r="H42" i="5" s="1"/>
  <c r="F41" i="5"/>
  <c r="F40" i="5"/>
  <c r="H40" i="5" s="1"/>
  <c r="F39" i="5"/>
  <c r="G33" i="5"/>
  <c r="H49" i="5"/>
  <c r="H39" i="5"/>
  <c r="I14" i="5"/>
  <c r="L14" i="5"/>
  <c r="M14" i="5"/>
  <c r="I11" i="5"/>
  <c r="L11" i="5"/>
  <c r="M11" i="5"/>
  <c r="G32" i="5"/>
  <c r="N32" i="5"/>
  <c r="O32" i="5"/>
  <c r="I32" i="5"/>
  <c r="L32" i="5"/>
  <c r="M32" i="5"/>
  <c r="G12" i="5"/>
  <c r="N12" i="5"/>
  <c r="O12" i="5"/>
  <c r="G14" i="5"/>
  <c r="N14" i="5"/>
  <c r="O14" i="5"/>
  <c r="G11" i="5"/>
  <c r="N11" i="5"/>
  <c r="O11" i="5"/>
  <c r="L51" i="5"/>
  <c r="N50" i="5"/>
  <c r="H50" i="5"/>
  <c r="N49" i="5"/>
  <c r="N48" i="5"/>
  <c r="H47" i="5"/>
  <c r="H46" i="5"/>
  <c r="H44" i="5"/>
  <c r="H43" i="5"/>
  <c r="N42" i="5"/>
  <c r="N41" i="5"/>
  <c r="N40" i="5"/>
  <c r="N39" i="5"/>
  <c r="E35" i="5"/>
  <c r="O33" i="5"/>
  <c r="N33" i="5"/>
  <c r="L33" i="5"/>
  <c r="M33" i="5" s="1"/>
  <c r="I33" i="5"/>
  <c r="O31" i="5"/>
  <c r="N31" i="5"/>
  <c r="L31" i="5"/>
  <c r="M31" i="5" s="1"/>
  <c r="I31" i="5"/>
  <c r="G31" i="5"/>
  <c r="O30" i="5"/>
  <c r="N30" i="5"/>
  <c r="L30" i="5"/>
  <c r="M30" i="5" s="1"/>
  <c r="I30" i="5"/>
  <c r="G30" i="5"/>
  <c r="O29" i="5"/>
  <c r="N29" i="5"/>
  <c r="L29" i="5"/>
  <c r="M29" i="5" s="1"/>
  <c r="I29" i="5"/>
  <c r="G29" i="5"/>
  <c r="O28" i="5"/>
  <c r="N28" i="5"/>
  <c r="L28" i="5"/>
  <c r="M28" i="5" s="1"/>
  <c r="I28" i="5"/>
  <c r="G28" i="5"/>
  <c r="O27" i="5"/>
  <c r="N27" i="5"/>
  <c r="L27" i="5"/>
  <c r="M27" i="5" s="1"/>
  <c r="I27" i="5"/>
  <c r="G27" i="5"/>
  <c r="O26" i="5"/>
  <c r="N26" i="5"/>
  <c r="L26" i="5"/>
  <c r="M26" i="5" s="1"/>
  <c r="I26" i="5"/>
  <c r="G26" i="5"/>
  <c r="O25" i="5"/>
  <c r="N25" i="5"/>
  <c r="L25" i="5"/>
  <c r="M25" i="5" s="1"/>
  <c r="I25" i="5"/>
  <c r="G25" i="5"/>
  <c r="O24" i="5"/>
  <c r="N24" i="5"/>
  <c r="L24" i="5"/>
  <c r="M24" i="5" s="1"/>
  <c r="I24" i="5"/>
  <c r="G24" i="5"/>
  <c r="O23" i="5"/>
  <c r="N23" i="5"/>
  <c r="L23" i="5"/>
  <c r="M23" i="5" s="1"/>
  <c r="I23" i="5"/>
  <c r="G23" i="5"/>
  <c r="O22" i="5"/>
  <c r="N22" i="5"/>
  <c r="L22" i="5"/>
  <c r="M22" i="5" s="1"/>
  <c r="I22" i="5"/>
  <c r="G22" i="5"/>
  <c r="O21" i="5"/>
  <c r="N21" i="5"/>
  <c r="L21" i="5"/>
  <c r="M21" i="5" s="1"/>
  <c r="I21" i="5"/>
  <c r="G21" i="5"/>
  <c r="O20" i="5"/>
  <c r="N20" i="5"/>
  <c r="L20" i="5"/>
  <c r="M20" i="5" s="1"/>
  <c r="I20" i="5"/>
  <c r="G20" i="5"/>
  <c r="O19" i="5"/>
  <c r="N19" i="5"/>
  <c r="L19" i="5"/>
  <c r="M19" i="5" s="1"/>
  <c r="I19" i="5"/>
  <c r="G19" i="5"/>
  <c r="O18" i="5"/>
  <c r="N18" i="5"/>
  <c r="L18" i="5"/>
  <c r="M18" i="5" s="1"/>
  <c r="I18" i="5"/>
  <c r="G18" i="5"/>
  <c r="O17" i="5"/>
  <c r="N17" i="5"/>
  <c r="L17" i="5"/>
  <c r="M17" i="5" s="1"/>
  <c r="I17" i="5"/>
  <c r="G17" i="5"/>
  <c r="O16" i="5"/>
  <c r="N16" i="5"/>
  <c r="L16" i="5"/>
  <c r="M16" i="5" s="1"/>
  <c r="I16" i="5"/>
  <c r="G16" i="5"/>
  <c r="O15" i="5"/>
  <c r="N15" i="5"/>
  <c r="L15" i="5"/>
  <c r="M15" i="5" s="1"/>
  <c r="I15" i="5"/>
  <c r="G15" i="5"/>
  <c r="O13" i="5"/>
  <c r="N13" i="5"/>
  <c r="L13" i="5"/>
  <c r="M13" i="5" s="1"/>
  <c r="I13" i="5"/>
  <c r="G13" i="5"/>
  <c r="O10" i="5"/>
  <c r="N10" i="5"/>
  <c r="L10" i="5"/>
  <c r="M10" i="5" s="1"/>
  <c r="I10" i="5"/>
  <c r="G10" i="5"/>
  <c r="O9" i="5"/>
  <c r="N9" i="5"/>
  <c r="L9" i="5"/>
  <c r="M9" i="5" s="1"/>
  <c r="I9" i="5"/>
  <c r="G9" i="5"/>
  <c r="O8" i="5"/>
  <c r="N8" i="5"/>
  <c r="L8" i="5"/>
  <c r="M8" i="5" s="1"/>
  <c r="I8" i="5"/>
  <c r="G8" i="5"/>
  <c r="O7" i="5"/>
  <c r="N7" i="5"/>
  <c r="L7" i="5"/>
  <c r="M7" i="5" s="1"/>
  <c r="I7" i="5"/>
  <c r="G7" i="5"/>
  <c r="O6" i="5"/>
  <c r="N6" i="5"/>
  <c r="L6" i="5"/>
  <c r="M6" i="5" s="1"/>
  <c r="I6" i="5"/>
  <c r="G6" i="5"/>
  <c r="O5" i="5"/>
  <c r="N5" i="5"/>
  <c r="L5" i="5"/>
  <c r="M5" i="5" s="1"/>
  <c r="I5" i="5"/>
  <c r="G5" i="5"/>
  <c r="F47" i="4"/>
  <c r="H47" i="4" s="1"/>
  <c r="F51" i="4"/>
  <c r="F50" i="4"/>
  <c r="H50" i="4" s="1"/>
  <c r="F49" i="4"/>
  <c r="H49" i="4" s="1"/>
  <c r="F48" i="4"/>
  <c r="H48" i="4" s="1"/>
  <c r="F46" i="4"/>
  <c r="F45" i="4"/>
  <c r="H45" i="4" s="1"/>
  <c r="F44" i="4"/>
  <c r="F43" i="4"/>
  <c r="H43" i="4" s="1"/>
  <c r="F42" i="4"/>
  <c r="L8" i="4"/>
  <c r="M8" i="4"/>
  <c r="N8" i="4"/>
  <c r="O8" i="4"/>
  <c r="L9" i="4"/>
  <c r="M9" i="4"/>
  <c r="N9" i="4"/>
  <c r="O9" i="4"/>
  <c r="L10" i="4"/>
  <c r="M10" i="4"/>
  <c r="N10" i="4"/>
  <c r="O10" i="4"/>
  <c r="L11" i="4"/>
  <c r="M11" i="4"/>
  <c r="N11" i="4"/>
  <c r="O11" i="4"/>
  <c r="L12" i="4"/>
  <c r="M12" i="4"/>
  <c r="N12" i="4"/>
  <c r="O12" i="4"/>
  <c r="L13" i="4"/>
  <c r="M13" i="4"/>
  <c r="N13" i="4"/>
  <c r="O13" i="4"/>
  <c r="L14" i="4"/>
  <c r="M14" i="4"/>
  <c r="N14" i="4"/>
  <c r="O14" i="4"/>
  <c r="L15" i="4"/>
  <c r="M15" i="4"/>
  <c r="N15" i="4"/>
  <c r="O15" i="4"/>
  <c r="L16" i="4"/>
  <c r="M16" i="4"/>
  <c r="N16" i="4"/>
  <c r="O16" i="4"/>
  <c r="L17" i="4"/>
  <c r="M17" i="4"/>
  <c r="N17" i="4"/>
  <c r="O17" i="4"/>
  <c r="L18" i="4"/>
  <c r="M18" i="4"/>
  <c r="N18" i="4"/>
  <c r="O18" i="4"/>
  <c r="L19" i="4"/>
  <c r="M19" i="4"/>
  <c r="N19" i="4"/>
  <c r="O19" i="4"/>
  <c r="L20" i="4"/>
  <c r="M20" i="4"/>
  <c r="N20" i="4"/>
  <c r="O20" i="4"/>
  <c r="L21" i="4"/>
  <c r="M21" i="4"/>
  <c r="N21" i="4"/>
  <c r="O21" i="4"/>
  <c r="L22" i="4"/>
  <c r="M22" i="4"/>
  <c r="N22" i="4"/>
  <c r="O22" i="4"/>
  <c r="L23" i="4"/>
  <c r="M23" i="4"/>
  <c r="N23" i="4"/>
  <c r="O23" i="4"/>
  <c r="L24" i="4"/>
  <c r="M24" i="4"/>
  <c r="N24" i="4"/>
  <c r="O24" i="4"/>
  <c r="L25" i="4"/>
  <c r="M25" i="4"/>
  <c r="N25" i="4"/>
  <c r="O25" i="4"/>
  <c r="L26" i="4"/>
  <c r="M26" i="4"/>
  <c r="N26" i="4"/>
  <c r="O26" i="4"/>
  <c r="L27" i="4"/>
  <c r="M27" i="4"/>
  <c r="N27" i="4"/>
  <c r="O27" i="4"/>
  <c r="L28" i="4"/>
  <c r="M28" i="4"/>
  <c r="N28" i="4"/>
  <c r="O28" i="4"/>
  <c r="L29" i="4"/>
  <c r="M29" i="4"/>
  <c r="N29" i="4"/>
  <c r="O29" i="4"/>
  <c r="L30" i="4"/>
  <c r="M30" i="4"/>
  <c r="N30" i="4"/>
  <c r="O30" i="4"/>
  <c r="L31" i="4"/>
  <c r="M31" i="4"/>
  <c r="N31" i="4"/>
  <c r="O31" i="4"/>
  <c r="L32" i="4"/>
  <c r="M32" i="4"/>
  <c r="N32" i="4"/>
  <c r="O32" i="4"/>
  <c r="L33" i="4"/>
  <c r="M33" i="4"/>
  <c r="N33" i="4"/>
  <c r="O33" i="4"/>
  <c r="L34" i="4"/>
  <c r="M34" i="4"/>
  <c r="N34" i="4"/>
  <c r="O34" i="4"/>
  <c r="L35" i="4"/>
  <c r="M35" i="4"/>
  <c r="N35" i="4"/>
  <c r="O35" i="4"/>
  <c r="G22" i="4"/>
  <c r="I22" i="4"/>
  <c r="G17" i="4"/>
  <c r="I17" i="4"/>
  <c r="G35" i="4"/>
  <c r="I35" i="4"/>
  <c r="G33" i="4"/>
  <c r="I33" i="4"/>
  <c r="G30" i="4"/>
  <c r="I30" i="4"/>
  <c r="L54" i="4"/>
  <c r="N53" i="4"/>
  <c r="H53" i="4"/>
  <c r="N52" i="4"/>
  <c r="H52" i="4"/>
  <c r="N51" i="4"/>
  <c r="H51" i="4"/>
  <c r="H46" i="4"/>
  <c r="N45" i="4"/>
  <c r="N44" i="4"/>
  <c r="H44" i="4"/>
  <c r="N43" i="4"/>
  <c r="N42" i="4"/>
  <c r="N46" i="4" s="1"/>
  <c r="E38" i="4"/>
  <c r="O36" i="4"/>
  <c r="N36" i="4"/>
  <c r="L36" i="4"/>
  <c r="M36" i="4" s="1"/>
  <c r="I36" i="4"/>
  <c r="I34" i="4"/>
  <c r="G34" i="4"/>
  <c r="I32" i="4"/>
  <c r="G32" i="4"/>
  <c r="I31" i="4"/>
  <c r="G31" i="4"/>
  <c r="I29" i="4"/>
  <c r="G29" i="4"/>
  <c r="I28" i="4"/>
  <c r="G28" i="4"/>
  <c r="I27" i="4"/>
  <c r="G27" i="4"/>
  <c r="I26" i="4"/>
  <c r="G26" i="4"/>
  <c r="I25" i="4"/>
  <c r="G25" i="4"/>
  <c r="I24" i="4"/>
  <c r="G24" i="4"/>
  <c r="I23" i="4"/>
  <c r="G23" i="4"/>
  <c r="I21" i="4"/>
  <c r="G21" i="4"/>
  <c r="I20" i="4"/>
  <c r="G20" i="4"/>
  <c r="I19" i="4"/>
  <c r="G19" i="4"/>
  <c r="I18" i="4"/>
  <c r="G18" i="4"/>
  <c r="I16" i="4"/>
  <c r="G16" i="4"/>
  <c r="I15" i="4"/>
  <c r="G15" i="4"/>
  <c r="I14" i="4"/>
  <c r="G14" i="4"/>
  <c r="I13" i="4"/>
  <c r="G13" i="4"/>
  <c r="I12" i="4"/>
  <c r="G12" i="4"/>
  <c r="I11" i="4"/>
  <c r="G11" i="4"/>
  <c r="I10" i="4"/>
  <c r="G10" i="4"/>
  <c r="I9" i="4"/>
  <c r="G9" i="4"/>
  <c r="I8" i="4"/>
  <c r="G8" i="4"/>
  <c r="O7" i="4"/>
  <c r="N7" i="4"/>
  <c r="L7" i="4"/>
  <c r="M7" i="4" s="1"/>
  <c r="I7" i="4"/>
  <c r="G7" i="4"/>
  <c r="O6" i="4"/>
  <c r="N6" i="4"/>
  <c r="L6" i="4"/>
  <c r="M6" i="4" s="1"/>
  <c r="I6" i="4"/>
  <c r="G6" i="4"/>
  <c r="O5" i="4"/>
  <c r="N5" i="4"/>
  <c r="L5" i="4"/>
  <c r="M5" i="4" s="1"/>
  <c r="I5" i="4"/>
  <c r="G5" i="4"/>
  <c r="G22" i="3"/>
  <c r="I22" i="3"/>
  <c r="L22" i="3"/>
  <c r="M22" i="3" s="1"/>
  <c r="N22" i="3"/>
  <c r="O22" i="3"/>
  <c r="G31" i="3"/>
  <c r="F37" i="3"/>
  <c r="F38" i="3"/>
  <c r="F39" i="3"/>
  <c r="F40" i="3"/>
  <c r="F41" i="3"/>
  <c r="F42" i="3"/>
  <c r="F43" i="3"/>
  <c r="F44" i="3"/>
  <c r="F45" i="3"/>
  <c r="F46" i="3"/>
  <c r="F48" i="3"/>
  <c r="I31" i="3"/>
  <c r="L31" i="3"/>
  <c r="M31" i="3" s="1"/>
  <c r="N31" i="3"/>
  <c r="O31" i="3"/>
  <c r="N43" i="5" l="1"/>
  <c r="N51" i="5"/>
  <c r="O35" i="5"/>
  <c r="G35" i="5"/>
  <c r="G51" i="5"/>
  <c r="N35" i="5"/>
  <c r="H41" i="5"/>
  <c r="H51" i="5" s="1"/>
  <c r="N54" i="4"/>
  <c r="O38" i="4"/>
  <c r="G54" i="4"/>
  <c r="G38" i="4"/>
  <c r="N38" i="4"/>
  <c r="H42" i="4"/>
  <c r="H54" i="4" s="1"/>
  <c r="H43" i="3"/>
  <c r="H46" i="3"/>
  <c r="H48" i="3"/>
  <c r="H44" i="3"/>
  <c r="H42" i="3"/>
  <c r="H41" i="3"/>
  <c r="H40" i="3"/>
  <c r="H39" i="3"/>
  <c r="H38" i="3"/>
  <c r="L49" i="3"/>
  <c r="N48" i="3"/>
  <c r="N47" i="3"/>
  <c r="H47" i="3"/>
  <c r="N46" i="3"/>
  <c r="H45" i="3"/>
  <c r="N40" i="3"/>
  <c r="N39" i="3"/>
  <c r="N38" i="3"/>
  <c r="N37" i="3"/>
  <c r="E33" i="3"/>
  <c r="N30" i="3"/>
  <c r="L30" i="3"/>
  <c r="M30" i="3" s="1"/>
  <c r="I30" i="3"/>
  <c r="G30" i="3"/>
  <c r="O29" i="3"/>
  <c r="N29" i="3"/>
  <c r="L29" i="3"/>
  <c r="M29" i="3" s="1"/>
  <c r="I29" i="3"/>
  <c r="G29" i="3"/>
  <c r="O28" i="3"/>
  <c r="N28" i="3"/>
  <c r="L28" i="3"/>
  <c r="M28" i="3" s="1"/>
  <c r="I28" i="3"/>
  <c r="G28" i="3"/>
  <c r="O27" i="3"/>
  <c r="N27" i="3"/>
  <c r="L27" i="3"/>
  <c r="M27" i="3" s="1"/>
  <c r="I27" i="3"/>
  <c r="G27" i="3"/>
  <c r="O26" i="3"/>
  <c r="N26" i="3"/>
  <c r="L26" i="3"/>
  <c r="M26" i="3" s="1"/>
  <c r="I26" i="3"/>
  <c r="G26" i="3"/>
  <c r="O25" i="3"/>
  <c r="N25" i="3"/>
  <c r="L25" i="3"/>
  <c r="M25" i="3" s="1"/>
  <c r="I25" i="3"/>
  <c r="G25" i="3"/>
  <c r="O24" i="3"/>
  <c r="N24" i="3"/>
  <c r="L24" i="3"/>
  <c r="M24" i="3" s="1"/>
  <c r="I24" i="3"/>
  <c r="G24" i="3"/>
  <c r="O23" i="3"/>
  <c r="N23" i="3"/>
  <c r="L23" i="3"/>
  <c r="M23" i="3" s="1"/>
  <c r="I23" i="3"/>
  <c r="G23" i="3"/>
  <c r="O21" i="3"/>
  <c r="N21" i="3"/>
  <c r="L21" i="3"/>
  <c r="M21" i="3" s="1"/>
  <c r="I21" i="3"/>
  <c r="G21" i="3"/>
  <c r="O20" i="3"/>
  <c r="N20" i="3"/>
  <c r="L20" i="3"/>
  <c r="M20" i="3" s="1"/>
  <c r="I20" i="3"/>
  <c r="G20" i="3"/>
  <c r="O19" i="3"/>
  <c r="N19" i="3"/>
  <c r="L19" i="3"/>
  <c r="M19" i="3" s="1"/>
  <c r="I19" i="3"/>
  <c r="G19" i="3"/>
  <c r="O18" i="3"/>
  <c r="N18" i="3"/>
  <c r="L18" i="3"/>
  <c r="M18" i="3" s="1"/>
  <c r="I18" i="3"/>
  <c r="G18" i="3"/>
  <c r="O17" i="3"/>
  <c r="N17" i="3"/>
  <c r="L17" i="3"/>
  <c r="M17" i="3" s="1"/>
  <c r="I17" i="3"/>
  <c r="G17" i="3"/>
  <c r="O16" i="3"/>
  <c r="N16" i="3"/>
  <c r="L16" i="3"/>
  <c r="M16" i="3" s="1"/>
  <c r="I16" i="3"/>
  <c r="G16" i="3"/>
  <c r="N15" i="3"/>
  <c r="L15" i="3"/>
  <c r="M15" i="3" s="1"/>
  <c r="I15" i="3"/>
  <c r="G15" i="3"/>
  <c r="O14" i="3"/>
  <c r="N14" i="3"/>
  <c r="L14" i="3"/>
  <c r="M14" i="3" s="1"/>
  <c r="I14" i="3"/>
  <c r="G14" i="3"/>
  <c r="O13" i="3"/>
  <c r="N13" i="3"/>
  <c r="L13" i="3"/>
  <c r="M13" i="3" s="1"/>
  <c r="I13" i="3"/>
  <c r="G13" i="3"/>
  <c r="O12" i="3"/>
  <c r="N12" i="3"/>
  <c r="L12" i="3"/>
  <c r="M12" i="3" s="1"/>
  <c r="I12" i="3"/>
  <c r="G12" i="3"/>
  <c r="O11" i="3"/>
  <c r="N11" i="3"/>
  <c r="L11" i="3"/>
  <c r="M11" i="3" s="1"/>
  <c r="I11" i="3"/>
  <c r="G11" i="3"/>
  <c r="O10" i="3"/>
  <c r="N10" i="3"/>
  <c r="L10" i="3"/>
  <c r="M10" i="3" s="1"/>
  <c r="I10" i="3"/>
  <c r="G10" i="3"/>
  <c r="O9" i="3"/>
  <c r="N9" i="3"/>
  <c r="L9" i="3"/>
  <c r="M9" i="3" s="1"/>
  <c r="I9" i="3"/>
  <c r="G9" i="3"/>
  <c r="O8" i="3"/>
  <c r="N8" i="3"/>
  <c r="L8" i="3"/>
  <c r="M8" i="3" s="1"/>
  <c r="I8" i="3"/>
  <c r="G8" i="3"/>
  <c r="O7" i="3"/>
  <c r="N7" i="3"/>
  <c r="L7" i="3"/>
  <c r="M7" i="3" s="1"/>
  <c r="I7" i="3"/>
  <c r="G7" i="3"/>
  <c r="O6" i="3"/>
  <c r="N6" i="3"/>
  <c r="L6" i="3"/>
  <c r="M6" i="3" s="1"/>
  <c r="I6" i="3"/>
  <c r="G6" i="3"/>
  <c r="O5" i="3"/>
  <c r="N5" i="3"/>
  <c r="L5" i="3"/>
  <c r="M5" i="3" s="1"/>
  <c r="I5" i="3"/>
  <c r="G5" i="3"/>
  <c r="P35" i="5" l="1"/>
  <c r="P38" i="4"/>
  <c r="N41" i="3"/>
  <c r="N49" i="3"/>
  <c r="O33" i="3"/>
  <c r="G49" i="3"/>
  <c r="G33" i="3"/>
  <c r="N33" i="3"/>
  <c r="H37" i="3"/>
  <c r="H49" i="3" s="1"/>
  <c r="P33" i="3" l="1"/>
  <c r="F50" i="2" l="1"/>
  <c r="F48" i="2"/>
  <c r="F47" i="2"/>
  <c r="F45" i="2"/>
  <c r="H45" i="2" s="1"/>
  <c r="F44" i="2"/>
  <c r="F43" i="2"/>
  <c r="F42" i="2"/>
  <c r="G33" i="2"/>
  <c r="N33" i="2"/>
  <c r="O33" i="2"/>
  <c r="I33" i="2"/>
  <c r="L33" i="2"/>
  <c r="M33" i="2"/>
  <c r="G29" i="2"/>
  <c r="N29" i="2"/>
  <c r="O29" i="2"/>
  <c r="I29" i="2"/>
  <c r="L29" i="2"/>
  <c r="M29" i="2"/>
  <c r="G13" i="2"/>
  <c r="N13" i="2"/>
  <c r="O13" i="2"/>
  <c r="I13" i="2"/>
  <c r="L13" i="2"/>
  <c r="M13" i="2"/>
  <c r="G19" i="2"/>
  <c r="I19" i="2"/>
  <c r="L19" i="2"/>
  <c r="M19" i="2"/>
  <c r="N19" i="2"/>
  <c r="H44" i="2"/>
  <c r="H43" i="2"/>
  <c r="H42" i="2"/>
  <c r="G35" i="2"/>
  <c r="I35" i="2"/>
  <c r="L35" i="2"/>
  <c r="M35" i="2" s="1"/>
  <c r="N35" i="2"/>
  <c r="G16" i="2"/>
  <c r="I16" i="2"/>
  <c r="L16" i="2"/>
  <c r="M16" i="2"/>
  <c r="N16" i="2"/>
  <c r="G15" i="2"/>
  <c r="I15" i="2"/>
  <c r="L15" i="2"/>
  <c r="M15" i="2" s="1"/>
  <c r="N15" i="2"/>
  <c r="I10" i="2"/>
  <c r="L10" i="2"/>
  <c r="M10" i="2" s="1"/>
  <c r="G10" i="2"/>
  <c r="N10" i="2"/>
  <c r="O10" i="2"/>
  <c r="G8" i="2"/>
  <c r="I8" i="2"/>
  <c r="L8" i="2"/>
  <c r="M8" i="2" s="1"/>
  <c r="N8" i="2"/>
  <c r="O8" i="2"/>
  <c r="L54" i="2"/>
  <c r="N53" i="2"/>
  <c r="H53" i="2"/>
  <c r="N52" i="2"/>
  <c r="H52" i="2"/>
  <c r="N51" i="2"/>
  <c r="H50" i="2"/>
  <c r="H49" i="2"/>
  <c r="H48" i="2"/>
  <c r="H47" i="2"/>
  <c r="H46" i="2"/>
  <c r="N45" i="2"/>
  <c r="N44" i="2"/>
  <c r="N43" i="2"/>
  <c r="N42" i="2"/>
  <c r="E38" i="2"/>
  <c r="O36" i="2"/>
  <c r="N36" i="2"/>
  <c r="L36" i="2"/>
  <c r="M36" i="2" s="1"/>
  <c r="I36" i="2"/>
  <c r="G36" i="2"/>
  <c r="O34" i="2"/>
  <c r="N34" i="2"/>
  <c r="L34" i="2"/>
  <c r="M34" i="2" s="1"/>
  <c r="I34" i="2"/>
  <c r="G34" i="2"/>
  <c r="O32" i="2"/>
  <c r="N32" i="2"/>
  <c r="L32" i="2"/>
  <c r="M32" i="2" s="1"/>
  <c r="I32" i="2"/>
  <c r="G32" i="2"/>
  <c r="O31" i="2"/>
  <c r="N31" i="2"/>
  <c r="L31" i="2"/>
  <c r="M31" i="2" s="1"/>
  <c r="I31" i="2"/>
  <c r="G31" i="2"/>
  <c r="O30" i="2"/>
  <c r="N30" i="2"/>
  <c r="L30" i="2"/>
  <c r="M30" i="2" s="1"/>
  <c r="I30" i="2"/>
  <c r="G30" i="2"/>
  <c r="O28" i="2"/>
  <c r="N28" i="2"/>
  <c r="L28" i="2"/>
  <c r="M28" i="2" s="1"/>
  <c r="I28" i="2"/>
  <c r="G28" i="2"/>
  <c r="O27" i="2"/>
  <c r="N27" i="2"/>
  <c r="L27" i="2"/>
  <c r="M27" i="2" s="1"/>
  <c r="I27" i="2"/>
  <c r="G27" i="2"/>
  <c r="O26" i="2"/>
  <c r="N26" i="2"/>
  <c r="L26" i="2"/>
  <c r="M26" i="2" s="1"/>
  <c r="I26" i="2"/>
  <c r="G26" i="2"/>
  <c r="O25" i="2"/>
  <c r="N25" i="2"/>
  <c r="L25" i="2"/>
  <c r="M25" i="2" s="1"/>
  <c r="I25" i="2"/>
  <c r="G25" i="2"/>
  <c r="O24" i="2"/>
  <c r="N24" i="2"/>
  <c r="L24" i="2"/>
  <c r="M24" i="2" s="1"/>
  <c r="I24" i="2"/>
  <c r="G24" i="2"/>
  <c r="O23" i="2"/>
  <c r="N23" i="2"/>
  <c r="L23" i="2"/>
  <c r="M23" i="2" s="1"/>
  <c r="I23" i="2"/>
  <c r="G23" i="2"/>
  <c r="O22" i="2"/>
  <c r="N22" i="2"/>
  <c r="L22" i="2"/>
  <c r="M22" i="2" s="1"/>
  <c r="I22" i="2"/>
  <c r="G22" i="2"/>
  <c r="O21" i="2"/>
  <c r="N21" i="2"/>
  <c r="L21" i="2"/>
  <c r="M21" i="2" s="1"/>
  <c r="I21" i="2"/>
  <c r="G21" i="2"/>
  <c r="O20" i="2"/>
  <c r="N20" i="2"/>
  <c r="L20" i="2"/>
  <c r="M20" i="2" s="1"/>
  <c r="I20" i="2"/>
  <c r="G20" i="2"/>
  <c r="O18" i="2"/>
  <c r="N18" i="2"/>
  <c r="L18" i="2"/>
  <c r="M18" i="2" s="1"/>
  <c r="I18" i="2"/>
  <c r="G18" i="2"/>
  <c r="O17" i="2"/>
  <c r="N17" i="2"/>
  <c r="L17" i="2"/>
  <c r="M17" i="2" s="1"/>
  <c r="I17" i="2"/>
  <c r="G17" i="2"/>
  <c r="O14" i="2"/>
  <c r="N14" i="2"/>
  <c r="L14" i="2"/>
  <c r="M14" i="2" s="1"/>
  <c r="I14" i="2"/>
  <c r="G14" i="2"/>
  <c r="O12" i="2"/>
  <c r="N12" i="2"/>
  <c r="L12" i="2"/>
  <c r="M12" i="2" s="1"/>
  <c r="I12" i="2"/>
  <c r="G12" i="2"/>
  <c r="O11" i="2"/>
  <c r="N11" i="2"/>
  <c r="L11" i="2"/>
  <c r="M11" i="2" s="1"/>
  <c r="I11" i="2"/>
  <c r="G11" i="2"/>
  <c r="O9" i="2"/>
  <c r="N9" i="2"/>
  <c r="L9" i="2"/>
  <c r="M9" i="2" s="1"/>
  <c r="I9" i="2"/>
  <c r="G9" i="2"/>
  <c r="O7" i="2"/>
  <c r="N7" i="2"/>
  <c r="L7" i="2"/>
  <c r="M7" i="2" s="1"/>
  <c r="I7" i="2"/>
  <c r="G7" i="2"/>
  <c r="O6" i="2"/>
  <c r="N6" i="2"/>
  <c r="L6" i="2"/>
  <c r="M6" i="2" s="1"/>
  <c r="I6" i="2"/>
  <c r="G6" i="2"/>
  <c r="O5" i="2"/>
  <c r="N5" i="2"/>
  <c r="L5" i="2"/>
  <c r="M5" i="2" s="1"/>
  <c r="I5" i="2"/>
  <c r="G5" i="2"/>
  <c r="O38" i="2" l="1"/>
  <c r="N54" i="2"/>
  <c r="N46" i="2"/>
  <c r="N38" i="2"/>
  <c r="G38" i="2"/>
  <c r="H54" i="2"/>
  <c r="G54" i="2"/>
  <c r="P38" i="2" l="1"/>
  <c r="F44" i="1" l="1"/>
  <c r="H44" i="1" s="1"/>
  <c r="F39" i="1"/>
  <c r="H39" i="1" s="1"/>
  <c r="F38" i="1"/>
  <c r="F37" i="1"/>
  <c r="H37" i="1" s="1"/>
  <c r="F36" i="1"/>
  <c r="G25" i="1"/>
  <c r="N25" i="1"/>
  <c r="O25" i="1"/>
  <c r="I25" i="1"/>
  <c r="L25" i="1"/>
  <c r="M25" i="1"/>
  <c r="G11" i="1"/>
  <c r="N11" i="1"/>
  <c r="O11" i="1"/>
  <c r="I11" i="1"/>
  <c r="L11" i="1"/>
  <c r="M11" i="1" s="1"/>
  <c r="L48" i="1"/>
  <c r="N47" i="1"/>
  <c r="H47" i="1"/>
  <c r="N46" i="1"/>
  <c r="H46" i="1"/>
  <c r="N45" i="1"/>
  <c r="H43" i="1"/>
  <c r="H42" i="1"/>
  <c r="H41" i="1"/>
  <c r="H40" i="1"/>
  <c r="N39" i="1"/>
  <c r="N38" i="1"/>
  <c r="H38" i="1"/>
  <c r="N37" i="1"/>
  <c r="N36" i="1"/>
  <c r="E32" i="1"/>
  <c r="O30" i="1"/>
  <c r="N30" i="1"/>
  <c r="L30" i="1"/>
  <c r="M30" i="1" s="1"/>
  <c r="I30" i="1"/>
  <c r="G30" i="1"/>
  <c r="O29" i="1"/>
  <c r="N29" i="1"/>
  <c r="L29" i="1"/>
  <c r="M29" i="1" s="1"/>
  <c r="I29" i="1"/>
  <c r="G29" i="1"/>
  <c r="O28" i="1"/>
  <c r="N28" i="1"/>
  <c r="L28" i="1"/>
  <c r="M28" i="1" s="1"/>
  <c r="I28" i="1"/>
  <c r="G28" i="1"/>
  <c r="O27" i="1"/>
  <c r="N27" i="1"/>
  <c r="L27" i="1"/>
  <c r="M27" i="1" s="1"/>
  <c r="I27" i="1"/>
  <c r="G27" i="1"/>
  <c r="O26" i="1"/>
  <c r="N26" i="1"/>
  <c r="L26" i="1"/>
  <c r="M26" i="1" s="1"/>
  <c r="I26" i="1"/>
  <c r="G26" i="1"/>
  <c r="O24" i="1"/>
  <c r="N24" i="1"/>
  <c r="L24" i="1"/>
  <c r="M24" i="1" s="1"/>
  <c r="I24" i="1"/>
  <c r="G24" i="1"/>
  <c r="O23" i="1"/>
  <c r="N23" i="1"/>
  <c r="L23" i="1"/>
  <c r="M23" i="1" s="1"/>
  <c r="I23" i="1"/>
  <c r="G23" i="1"/>
  <c r="O22" i="1"/>
  <c r="N22" i="1"/>
  <c r="L22" i="1"/>
  <c r="M22" i="1" s="1"/>
  <c r="I22" i="1"/>
  <c r="G22" i="1"/>
  <c r="O21" i="1"/>
  <c r="N21" i="1"/>
  <c r="L21" i="1"/>
  <c r="M21" i="1" s="1"/>
  <c r="I21" i="1"/>
  <c r="G21" i="1"/>
  <c r="O20" i="1"/>
  <c r="N20" i="1"/>
  <c r="L20" i="1"/>
  <c r="M20" i="1" s="1"/>
  <c r="I20" i="1"/>
  <c r="G20" i="1"/>
  <c r="O19" i="1"/>
  <c r="N19" i="1"/>
  <c r="L19" i="1"/>
  <c r="M19" i="1" s="1"/>
  <c r="I19" i="1"/>
  <c r="G19" i="1"/>
  <c r="O18" i="1"/>
  <c r="N18" i="1"/>
  <c r="L18" i="1"/>
  <c r="M18" i="1" s="1"/>
  <c r="I18" i="1"/>
  <c r="G18" i="1"/>
  <c r="O17" i="1"/>
  <c r="N17" i="1"/>
  <c r="L17" i="1"/>
  <c r="M17" i="1" s="1"/>
  <c r="I17" i="1"/>
  <c r="G17" i="1"/>
  <c r="O16" i="1"/>
  <c r="N16" i="1"/>
  <c r="L16" i="1"/>
  <c r="M16" i="1" s="1"/>
  <c r="I16" i="1"/>
  <c r="G16" i="1"/>
  <c r="O15" i="1"/>
  <c r="N15" i="1"/>
  <c r="L15" i="1"/>
  <c r="M15" i="1" s="1"/>
  <c r="I15" i="1"/>
  <c r="G15" i="1"/>
  <c r="O14" i="1"/>
  <c r="N14" i="1"/>
  <c r="L14" i="1"/>
  <c r="M14" i="1" s="1"/>
  <c r="I14" i="1"/>
  <c r="G14" i="1"/>
  <c r="O13" i="1"/>
  <c r="N13" i="1"/>
  <c r="L13" i="1"/>
  <c r="M13" i="1" s="1"/>
  <c r="I13" i="1"/>
  <c r="G13" i="1"/>
  <c r="O12" i="1"/>
  <c r="N12" i="1"/>
  <c r="L12" i="1"/>
  <c r="M12" i="1" s="1"/>
  <c r="I12" i="1"/>
  <c r="G12" i="1"/>
  <c r="O10" i="1"/>
  <c r="N10" i="1"/>
  <c r="L10" i="1"/>
  <c r="M10" i="1" s="1"/>
  <c r="I10" i="1"/>
  <c r="G10" i="1"/>
  <c r="O9" i="1"/>
  <c r="N9" i="1"/>
  <c r="L9" i="1"/>
  <c r="M9" i="1" s="1"/>
  <c r="I9" i="1"/>
  <c r="G9" i="1"/>
  <c r="O8" i="1"/>
  <c r="N8" i="1"/>
  <c r="L8" i="1"/>
  <c r="M8" i="1" s="1"/>
  <c r="I8" i="1"/>
  <c r="G8" i="1"/>
  <c r="O7" i="1"/>
  <c r="N7" i="1"/>
  <c r="L7" i="1"/>
  <c r="M7" i="1" s="1"/>
  <c r="I7" i="1"/>
  <c r="G7" i="1"/>
  <c r="O6" i="1"/>
  <c r="N6" i="1"/>
  <c r="L6" i="1"/>
  <c r="M6" i="1" s="1"/>
  <c r="I6" i="1"/>
  <c r="G6" i="1"/>
  <c r="O5" i="1"/>
  <c r="N5" i="1"/>
  <c r="L5" i="1"/>
  <c r="M5" i="1" s="1"/>
  <c r="I5" i="1"/>
  <c r="G5" i="1"/>
  <c r="N40" i="1" l="1"/>
  <c r="O32" i="1"/>
  <c r="N48" i="1"/>
  <c r="G48" i="1"/>
  <c r="G32" i="1"/>
  <c r="N32" i="1"/>
  <c r="H36" i="1"/>
  <c r="H48" i="1" s="1"/>
  <c r="P3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tc={7358273B-23DA-4942-A868-CDF1EE3EACA4}</author>
  </authors>
  <commentList>
    <comment ref="D4" authorId="0" shapeId="0" xr:uid="{7358273B-23DA-4942-A868-CDF1EE3EAC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tc={2B878EFA-F685-4E49-935C-D74C25C5FE29}</author>
  </authors>
  <commentList>
    <comment ref="D4" authorId="0" shapeId="0" xr:uid="{2B878EFA-F685-4E49-935C-D74C25C5FE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tc={114101B6-E1C7-4D44-9D08-B44044051D8F}</author>
  </authors>
  <commentList>
    <comment ref="D4" authorId="0" shapeId="0" xr:uid="{114101B6-E1C7-4D44-9D08-B44044051D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tc={77B25254-4EFF-436C-B803-B4488AC316E8}</author>
  </authors>
  <commentList>
    <comment ref="D4" authorId="0" shapeId="0" xr:uid="{77B25254-4EFF-436C-B803-B4488AC316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tc={16552F3B-B746-4F9A-9B89-685DBC1F20E3}</author>
  </authors>
  <commentList>
    <comment ref="D4" authorId="0" shapeId="0" xr:uid="{16552F3B-B746-4F9A-9B89-685DBC1F20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tc={415FE2E6-0789-4E1F-87DE-12895FDAF016}</author>
  </authors>
  <commentList>
    <comment ref="D4" authorId="0" shapeId="0" xr:uid="{415FE2E6-0789-4E1F-87DE-12895FDAF0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tc={066430A4-36B4-4EED-B0A6-C77487794B73}</author>
  </authors>
  <commentList>
    <comment ref="D4" authorId="0" shapeId="0" xr:uid="{066430A4-36B4-4EED-B0A6-C77487794B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tc={F2CFEA41-1D65-4BE4-B693-981076683A08}</author>
  </authors>
  <commentList>
    <comment ref="D4" authorId="0" shapeId="0" xr:uid="{F2CFEA41-1D65-4BE4-B693-981076683A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tc={41350833-BFCE-40D6-866C-52A5B50CF616}</author>
  </authors>
  <commentList>
    <comment ref="D4" authorId="0" shapeId="0" xr:uid="{41350833-BFCE-40D6-866C-52A5B50CF6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tc={D3C65B85-9FB3-4AF2-B3EF-5C7EEBA97C45}</author>
  </authors>
  <commentList>
    <comment ref="D4" authorId="0" shapeId="0" xr:uid="{D3C65B85-9FB3-4AF2-B3EF-5C7EEBA97C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 Item por línea</t>
      </text>
    </comment>
  </commentList>
</comments>
</file>

<file path=xl/sharedStrings.xml><?xml version="1.0" encoding="utf-8"?>
<sst xmlns="http://schemas.openxmlformats.org/spreadsheetml/2006/main" count="1683" uniqueCount="131">
  <si>
    <t>Fecha:</t>
  </si>
  <si>
    <t>Supervisor:</t>
  </si>
  <si>
    <t>Ulises Moran</t>
  </si>
  <si>
    <t xml:space="preserve"> </t>
  </si>
  <si>
    <t>Turno:</t>
  </si>
  <si>
    <t>Máquina</t>
  </si>
  <si>
    <t>Operador (a) 1</t>
  </si>
  <si>
    <t>Operador (a) 2</t>
  </si>
  <si>
    <t>Item</t>
  </si>
  <si>
    <t>Cantidad de Cajas</t>
  </si>
  <si>
    <t>Piezas / Caja</t>
  </si>
  <si>
    <t>Piezas Totales</t>
  </si>
  <si>
    <t>Empacador (a) 1</t>
  </si>
  <si>
    <t>Cantidad en cajas</t>
  </si>
  <si>
    <t>Empacador (a) 2</t>
  </si>
  <si>
    <t>Cantidad en Cajas</t>
  </si>
  <si>
    <t>Total en cajas</t>
  </si>
  <si>
    <t>Diferencia</t>
  </si>
  <si>
    <t>Total en Piezas Empacadas 1</t>
  </si>
  <si>
    <t>Total en Piezas Empacadas 2</t>
  </si>
  <si>
    <t xml:space="preserve">Jara Escobedo Rosalva </t>
  </si>
  <si>
    <t>522pk14+3.5w4g4-12</t>
  </si>
  <si>
    <t>Torres Alvarez Sonia</t>
  </si>
  <si>
    <t xml:space="preserve">Abraham Zuñiga Diana </t>
  </si>
  <si>
    <t>Cosio Garcia Rossibel</t>
  </si>
  <si>
    <t>Del Angel Reyes Marcela</t>
  </si>
  <si>
    <t xml:space="preserve">Garcia  Zavala  Javier Alejandro   </t>
  </si>
  <si>
    <t>Toledo Vara Alicia</t>
  </si>
  <si>
    <t>López Martínez Alexis Sebastián</t>
  </si>
  <si>
    <t>Saldierna Salazar Erika Yazmin</t>
  </si>
  <si>
    <t>Santoyo Zarco Honoria</t>
  </si>
  <si>
    <t>522pk14+3.5y-12</t>
  </si>
  <si>
    <t>Orozco Arriaga Claudia Paola</t>
  </si>
  <si>
    <t>Huerta Reyes Fatima Jazmin</t>
  </si>
  <si>
    <t>518pk11+3.6w3l3-12</t>
  </si>
  <si>
    <t xml:space="preserve">Cervantes Sigala Rosa Susana </t>
  </si>
  <si>
    <t>Juarez Godoy Aida Guadalupe</t>
  </si>
  <si>
    <t>López Mederos Nilda Clarivett</t>
  </si>
  <si>
    <t>Puebla Duarte Maria Guadalupe</t>
  </si>
  <si>
    <t>Olivares Sigala Noemi Guadalupe</t>
  </si>
  <si>
    <t>Ponce Ricardo Amada Guadalupe</t>
  </si>
  <si>
    <t>Arechar Barajas Maria del Socorro</t>
  </si>
  <si>
    <t xml:space="preserve">Cervantes Luna Gloria </t>
  </si>
  <si>
    <t>522PK12.5+3.5w-12</t>
  </si>
  <si>
    <t>Cosio Garcia Andrea</t>
  </si>
  <si>
    <t>Mendoza Perez Paulina Aylin</t>
  </si>
  <si>
    <t xml:space="preserve">Acosta Hernandez Maria Salome </t>
  </si>
  <si>
    <t xml:space="preserve">
Hernandez Rodriguez Angel</t>
  </si>
  <si>
    <t>Duran Murillo Sindia Belem</t>
  </si>
  <si>
    <t>Martin Salazar Gabriela Alejandra</t>
  </si>
  <si>
    <t>Garcia Gonzalez Marco Alejandro</t>
  </si>
  <si>
    <t>522TL10+4.25w-15</t>
  </si>
  <si>
    <t>Personal</t>
  </si>
  <si>
    <t>Metal Hooks</t>
  </si>
  <si>
    <t>Operadoras</t>
  </si>
  <si>
    <t>Codigo</t>
  </si>
  <si>
    <t>Maquina</t>
  </si>
  <si>
    <t>Cajas</t>
  </si>
  <si>
    <t>Piezas</t>
  </si>
  <si>
    <t>Total</t>
  </si>
  <si>
    <t>Operadora</t>
  </si>
  <si>
    <t>Empacadoras</t>
  </si>
  <si>
    <t>1-6</t>
  </si>
  <si>
    <t>Gonzalez Figueroa Rosa Iris</t>
  </si>
  <si>
    <t>541Spb25b</t>
  </si>
  <si>
    <t>7-8,11-21</t>
  </si>
  <si>
    <t xml:space="preserve">Cumplido Mendoza Gael </t>
  </si>
  <si>
    <t>9-10</t>
  </si>
  <si>
    <t xml:space="preserve">Cruz de Leon Maria Juana </t>
  </si>
  <si>
    <t>14,20,22</t>
  </si>
  <si>
    <t>Bending</t>
  </si>
  <si>
    <t>23</t>
  </si>
  <si>
    <t>Operador</t>
  </si>
  <si>
    <t>Gomez Torres Desiderio</t>
  </si>
  <si>
    <t>5122pr</t>
  </si>
  <si>
    <t>Magallanes Alvaraes Jocelyn Arlett</t>
  </si>
  <si>
    <t>MANTENIMIENTO</t>
  </si>
  <si>
    <t>Firma Supervisor</t>
  </si>
  <si>
    <t>Firma Jefe de Produccion</t>
  </si>
  <si>
    <t xml:space="preserve">Navarro Sanchez Maria del Sol </t>
  </si>
  <si>
    <t>Abraham Zuñiga Maria Del Carmen</t>
  </si>
  <si>
    <t>Garcia Becerra Leonardo</t>
  </si>
  <si>
    <t>Villareal Sandoval Blanca Guadalupe</t>
  </si>
  <si>
    <t>Delgado Hernandez Maria Andrea</t>
  </si>
  <si>
    <t>Martinez Cruz Selustiano</t>
  </si>
  <si>
    <t xml:space="preserve">Lara Torres Sergio Enrique </t>
  </si>
  <si>
    <t>Avila Bocardo Maria de Lourdes</t>
  </si>
  <si>
    <t>522pk12+4l-12</t>
  </si>
  <si>
    <t>4</t>
  </si>
  <si>
    <t>522pk12+4w-12</t>
  </si>
  <si>
    <t>6</t>
  </si>
  <si>
    <t>Castellanos Arciniega Lucina</t>
  </si>
  <si>
    <t>Rodriguez Miramontes Alma Delia</t>
  </si>
  <si>
    <t>Rodriguez Miramontes Bertha Alicia</t>
  </si>
  <si>
    <t>522pk12+4g-12</t>
  </si>
  <si>
    <t>522pk12+4o-12</t>
  </si>
  <si>
    <t>522pk16.5+3.4w-12</t>
  </si>
  <si>
    <t>522pk14+3.5w-15</t>
  </si>
  <si>
    <t>522pk16.5+3.4y-12</t>
  </si>
  <si>
    <t>522pk26+4w-15</t>
  </si>
  <si>
    <t>1-2</t>
  </si>
  <si>
    <t>3-4</t>
  </si>
  <si>
    <t>5-6</t>
  </si>
  <si>
    <t>7-8</t>
  </si>
  <si>
    <t>11-13</t>
  </si>
  <si>
    <t>15-16</t>
  </si>
  <si>
    <t>17-18</t>
  </si>
  <si>
    <t>19-21</t>
  </si>
  <si>
    <t>522nf19o-12</t>
  </si>
  <si>
    <t>19-22</t>
  </si>
  <si>
    <t>Meza Plascencia Paul Alonso</t>
  </si>
  <si>
    <t>Vega Meza Francisco Alejandro</t>
  </si>
  <si>
    <t>Quiñonez Viacaino Guillermina</t>
  </si>
  <si>
    <t>Patiño Barron Angelina Victoria</t>
  </si>
  <si>
    <t>Ramirez Godinez Maria Guadalupe</t>
  </si>
  <si>
    <t>522pk16.5+3.4w-15</t>
  </si>
  <si>
    <t>11-14</t>
  </si>
  <si>
    <t>11</t>
  </si>
  <si>
    <t>541spw48w-15</t>
  </si>
  <si>
    <t>522tl15+4w-15</t>
  </si>
  <si>
    <t>19-23</t>
  </si>
  <si>
    <t xml:space="preserve">MANTENIMIENTO </t>
  </si>
  <si>
    <t>522nf17g-12</t>
  </si>
  <si>
    <t>522nf10o-12</t>
  </si>
  <si>
    <t>522pk14+3.5wg-12</t>
  </si>
  <si>
    <t>522pk13.5+3.5w-12</t>
  </si>
  <si>
    <t>3-4,17-18</t>
  </si>
  <si>
    <t>14</t>
  </si>
  <si>
    <t>17-23</t>
  </si>
  <si>
    <t>15</t>
  </si>
  <si>
    <t>3-4,15-16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</si>
</sst>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rgb="FF242424"/>
      <name val="Aptos Narrow"/>
      <family val="2"/>
      <scheme val="minor"/>
    </font>
    <font>
      <sz val="8"/>
      <color rgb="FF242424"/>
      <name val="Aptos Narrow"/>
      <family val="2"/>
      <scheme val="minor"/>
    </font>
    <font>
      <sz val="8"/>
      <name val="Aptos Narrow"/>
      <family val="2"/>
      <scheme val="minor"/>
    </font>
    <font>
      <sz val="8"/>
      <name val="Aptos Narrow"/>
      <family val="2"/>
    </font>
    <font>
      <i/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7"/>
      <color rgb="FF242424"/>
      <name val="Aptos Narrow"/>
      <family val="2"/>
      <scheme val="minor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3" fontId="2" fillId="0" borderId="8" xfId="0" applyNumberFormat="1" applyFont="1" applyBorder="1" applyAlignment="1">
      <alignment vertical="center"/>
    </xf>
    <xf numFmtId="0" fontId="3" fillId="0" borderId="8" xfId="0" applyFont="1" applyBorder="1"/>
    <xf numFmtId="0" fontId="0" fillId="0" borderId="8" xfId="0" applyBorder="1" applyAlignment="1">
      <alignment vertical="center"/>
    </xf>
    <xf numFmtId="3" fontId="0" fillId="2" borderId="8" xfId="0" applyNumberFormat="1" applyFill="1" applyBorder="1" applyAlignment="1">
      <alignment vertical="center"/>
    </xf>
    <xf numFmtId="0" fontId="4" fillId="0" borderId="8" xfId="0" applyFont="1" applyBorder="1"/>
    <xf numFmtId="0" fontId="0" fillId="2" borderId="8" xfId="0" applyFill="1" applyBorder="1" applyAlignment="1">
      <alignment vertical="center"/>
    </xf>
    <xf numFmtId="3" fontId="2" fillId="2" borderId="8" xfId="0" applyNumberFormat="1" applyFont="1" applyFill="1" applyBorder="1" applyAlignment="1">
      <alignment vertical="center"/>
    </xf>
    <xf numFmtId="3" fontId="0" fillId="2" borderId="9" xfId="0" applyNumberFormat="1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5" fillId="3" borderId="8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2" borderId="0" xfId="0" applyFill="1" applyAlignment="1">
      <alignment vertical="center"/>
    </xf>
    <xf numFmtId="0" fontId="6" fillId="4" borderId="8" xfId="0" applyFont="1" applyFill="1" applyBorder="1" applyAlignment="1">
      <alignment horizontal="left"/>
    </xf>
    <xf numFmtId="3" fontId="2" fillId="4" borderId="8" xfId="0" applyNumberFormat="1" applyFont="1" applyFill="1" applyBorder="1" applyAlignment="1">
      <alignment vertical="center"/>
    </xf>
    <xf numFmtId="3" fontId="2" fillId="0" borderId="10" xfId="0" applyNumberFormat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6" fillId="0" borderId="8" xfId="0" applyFont="1" applyBorder="1" applyAlignment="1">
      <alignment horizontal="left" wrapText="1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3" fontId="1" fillId="0" borderId="8" xfId="0" applyNumberFormat="1" applyFont="1" applyBorder="1" applyAlignment="1">
      <alignment vertical="center"/>
    </xf>
    <xf numFmtId="3" fontId="0" fillId="0" borderId="8" xfId="0" applyNumberFormat="1" applyBorder="1" applyAlignment="1">
      <alignment vertical="center"/>
    </xf>
    <xf numFmtId="3" fontId="1" fillId="5" borderId="14" xfId="0" applyNumberFormat="1" applyFont="1" applyFill="1" applyBorder="1" applyAlignment="1">
      <alignment horizontal="center" vertical="center"/>
    </xf>
    <xf numFmtId="3" fontId="1" fillId="5" borderId="15" xfId="0" applyNumberFormat="1" applyFont="1" applyFill="1" applyBorder="1" applyAlignment="1">
      <alignment horizontal="center" vertical="center"/>
    </xf>
    <xf numFmtId="3" fontId="1" fillId="5" borderId="16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3" fontId="0" fillId="0" borderId="6" xfId="0" applyNumberFormat="1" applyBorder="1" applyAlignment="1">
      <alignment vertical="center"/>
    </xf>
    <xf numFmtId="3" fontId="7" fillId="5" borderId="7" xfId="0" applyNumberFormat="1" applyFont="1" applyFill="1" applyBorder="1" applyAlignment="1">
      <alignment horizontal="center" vertical="center"/>
    </xf>
    <xf numFmtId="3" fontId="7" fillId="5" borderId="8" xfId="0" applyNumberFormat="1" applyFont="1" applyFill="1" applyBorder="1" applyAlignment="1">
      <alignment horizontal="center" vertical="center"/>
    </xf>
    <xf numFmtId="3" fontId="7" fillId="5" borderId="9" xfId="0" applyNumberFormat="1" applyFont="1" applyFill="1" applyBorder="1" applyAlignment="1">
      <alignment horizontal="center" vertical="center"/>
    </xf>
    <xf numFmtId="3" fontId="0" fillId="0" borderId="17" xfId="0" applyNumberFormat="1" applyBorder="1" applyAlignment="1">
      <alignment vertical="center"/>
    </xf>
    <xf numFmtId="3" fontId="0" fillId="0" borderId="18" xfId="0" applyNumberForma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3" fontId="0" fillId="0" borderId="7" xfId="0" applyNumberFormat="1" applyBorder="1" applyAlignment="1">
      <alignment horizontal="center" vertical="center"/>
    </xf>
    <xf numFmtId="3" fontId="9" fillId="0" borderId="8" xfId="0" applyNumberFormat="1" applyFont="1" applyBorder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3" fontId="8" fillId="5" borderId="19" xfId="0" applyNumberFormat="1" applyFont="1" applyFill="1" applyBorder="1" applyAlignment="1">
      <alignment vertical="center"/>
    </xf>
    <xf numFmtId="3" fontId="0" fillId="0" borderId="21" xfId="0" applyNumberFormat="1" applyBorder="1" applyAlignment="1">
      <alignment vertical="center"/>
    </xf>
    <xf numFmtId="3" fontId="0" fillId="0" borderId="9" xfId="0" applyNumberFormat="1" applyBorder="1" applyAlignment="1">
      <alignment vertical="center"/>
    </xf>
    <xf numFmtId="3" fontId="0" fillId="0" borderId="18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left"/>
    </xf>
    <xf numFmtId="3" fontId="9" fillId="0" borderId="0" xfId="0" applyNumberFormat="1" applyFont="1" applyAlignment="1">
      <alignment vertical="center"/>
    </xf>
    <xf numFmtId="3" fontId="0" fillId="0" borderId="23" xfId="0" applyNumberForma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0" fillId="0" borderId="24" xfId="0" applyNumberFormat="1" applyBorder="1" applyAlignment="1">
      <alignment vertical="center"/>
    </xf>
    <xf numFmtId="3" fontId="7" fillId="5" borderId="25" xfId="0" applyNumberFormat="1" applyFont="1" applyFill="1" applyBorder="1" applyAlignment="1">
      <alignment horizontal="center" vertical="center"/>
    </xf>
    <xf numFmtId="3" fontId="7" fillId="5" borderId="10" xfId="0" applyNumberFormat="1" applyFont="1" applyFill="1" applyBorder="1" applyAlignment="1">
      <alignment horizontal="center" vertical="center"/>
    </xf>
    <xf numFmtId="3" fontId="7" fillId="5" borderId="26" xfId="0" applyNumberFormat="1" applyFont="1" applyFill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0" fontId="9" fillId="0" borderId="8" xfId="0" applyFont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2" fontId="0" fillId="0" borderId="8" xfId="0" applyNumberFormat="1" applyBorder="1" applyAlignment="1">
      <alignment vertical="center"/>
    </xf>
    <xf numFmtId="3" fontId="1" fillId="0" borderId="23" xfId="0" applyNumberFormat="1" applyFont="1" applyBorder="1" applyAlignment="1">
      <alignment horizontal="center" vertical="center"/>
    </xf>
    <xf numFmtId="0" fontId="10" fillId="0" borderId="8" xfId="0" applyFont="1" applyBorder="1"/>
    <xf numFmtId="14" fontId="0" fillId="0" borderId="0" xfId="0" applyNumberFormat="1" applyAlignment="1">
      <alignment vertical="center"/>
    </xf>
    <xf numFmtId="0" fontId="2" fillId="4" borderId="8" xfId="0" applyFont="1" applyFill="1" applyBorder="1" applyAlignment="1">
      <alignment horizontal="left"/>
    </xf>
    <xf numFmtId="0" fontId="4" fillId="0" borderId="0" xfId="0" applyFont="1"/>
    <xf numFmtId="0" fontId="3" fillId="4" borderId="8" xfId="0" applyFont="1" applyFill="1" applyBorder="1"/>
    <xf numFmtId="49" fontId="8" fillId="4" borderId="8" xfId="0" applyNumberFormat="1" applyFont="1" applyFill="1" applyBorder="1" applyAlignment="1">
      <alignment vertical="center"/>
    </xf>
    <xf numFmtId="3" fontId="0" fillId="4" borderId="8" xfId="0" applyNumberFormat="1" applyFill="1" applyBorder="1" applyAlignment="1">
      <alignment vertical="center"/>
    </xf>
    <xf numFmtId="3" fontId="8" fillId="5" borderId="0" xfId="0" applyNumberFormat="1" applyFont="1" applyFill="1" applyAlignment="1">
      <alignment vertical="center"/>
    </xf>
    <xf numFmtId="3" fontId="0" fillId="4" borderId="9" xfId="0" applyNumberFormat="1" applyFill="1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3" fontId="1" fillId="0" borderId="28" xfId="0" applyNumberFormat="1" applyFont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5" borderId="14" xfId="0" applyNumberFormat="1" applyFont="1" applyFill="1" applyBorder="1" applyAlignment="1">
      <alignment horizontal="center" vertical="center"/>
    </xf>
    <xf numFmtId="3" fontId="1" fillId="5" borderId="15" xfId="0" applyNumberFormat="1" applyFont="1" applyFill="1" applyBorder="1" applyAlignment="1">
      <alignment horizontal="center" vertical="center"/>
    </xf>
    <xf numFmtId="3" fontId="1" fillId="5" borderId="16" xfId="0" applyNumberFormat="1" applyFont="1" applyFill="1" applyBorder="1" applyAlignment="1">
      <alignment horizontal="center" vertical="center"/>
    </xf>
    <xf numFmtId="3" fontId="2" fillId="0" borderId="22" xfId="0" applyNumberFormat="1" applyFont="1" applyBorder="1" applyAlignment="1">
      <alignment horizontal="center" vertical="center"/>
    </xf>
    <xf numFmtId="3" fontId="0" fillId="5" borderId="28" xfId="0" applyNumberFormat="1" applyFill="1" applyBorder="1" applyAlignment="1">
      <alignment horizontal="center" vertical="center"/>
    </xf>
    <xf numFmtId="3" fontId="0" fillId="5" borderId="29" xfId="0" applyNumberFormat="1" applyFill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10" xfId="0" applyNumberFormat="1" applyFont="1" applyFill="1" applyBorder="1" applyAlignment="1">
      <alignment vertical="center"/>
    </xf>
    <xf numFmtId="0" fontId="2" fillId="0" borderId="8" xfId="0" applyFont="1" applyFill="1" applyBorder="1" applyAlignment="1">
      <alignment horizontal="left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el Soto" id="{B3357DDE-B637-4FEA-85BB-A388B0423F80}" userId="S::Manuel_soto@paskal-group.com::b1ad3d3b-e420-4e38-8c6c-ea34e52cc2b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7358273B-23DA-4942-A868-CDF1EE3EACA4}">
    <text>Un Item por línea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2B878EFA-F685-4E49-935C-D74C25C5FE29}">
    <text>Un Item por línea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114101B6-E1C7-4D44-9D08-B44044051D8F}">
    <text>Un Item por línea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77B25254-4EFF-436C-B803-B4488AC316E8}">
    <text>Un Item por línea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16552F3B-B746-4F9A-9B89-685DBC1F20E3}">
    <text>Un Item por línea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415FE2E6-0789-4E1F-87DE-12895FDAF016}">
    <text>Un Item por línea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066430A4-36B4-4EED-B0A6-C77487794B73}">
    <text>Un Item por línea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F2CFEA41-1D65-4BE4-B693-981076683A08}">
    <text>Un Item por línea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41350833-BFCE-40D6-866C-52A5B50CF616}">
    <text>Un Item por línea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4" dT="2024-01-15T23:11:20.23" personId="{B3357DDE-B637-4FEA-85BB-A388B0423F80}" id="{D3C65B85-9FB3-4AF2-B3EF-5C7EEBA97C45}">
    <text>Un Item por línea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86F4-B213-46C5-BCD1-7CD8EAC46F8D}">
  <dimension ref="A1:P65"/>
  <sheetViews>
    <sheetView topLeftCell="A9" zoomScale="106" zoomScaleNormal="106" workbookViewId="0">
      <selection activeCell="A12" sqref="A12:XFD12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46146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21</v>
      </c>
      <c r="E5" s="14">
        <v>13</v>
      </c>
      <c r="F5" s="15">
        <v>288</v>
      </c>
      <c r="G5" s="15">
        <f t="shared" ref="G5:G30" si="0">+E5*F5</f>
        <v>3744</v>
      </c>
      <c r="H5" s="16" t="s">
        <v>22</v>
      </c>
      <c r="I5" s="17">
        <f t="shared" ref="I5:I30" si="1">E5</f>
        <v>13</v>
      </c>
      <c r="J5" s="18"/>
      <c r="K5" s="17"/>
      <c r="L5" s="17">
        <f t="shared" ref="L5:L30" si="2">E5</f>
        <v>13</v>
      </c>
      <c r="M5" s="15">
        <f t="shared" ref="M5:M30" si="3">E5-L5</f>
        <v>0</v>
      </c>
      <c r="N5" s="15">
        <f t="shared" ref="N5:N30" si="4">E5*F5</f>
        <v>3744</v>
      </c>
      <c r="O5" s="19">
        <f t="shared" ref="O5:O30" si="5">+K5*F5</f>
        <v>0</v>
      </c>
    </row>
    <row r="6" spans="1:15" s="20" customFormat="1" ht="14.5" customHeight="1" x14ac:dyDescent="0.3">
      <c r="A6" s="11">
        <v>2</v>
      </c>
      <c r="B6" s="16" t="s">
        <v>23</v>
      </c>
      <c r="C6" s="12"/>
      <c r="D6" s="13" t="s">
        <v>21</v>
      </c>
      <c r="E6" s="14">
        <v>13</v>
      </c>
      <c r="F6" s="15">
        <v>288</v>
      </c>
      <c r="G6" s="15">
        <f t="shared" si="0"/>
        <v>3744</v>
      </c>
      <c r="H6" s="16" t="s">
        <v>22</v>
      </c>
      <c r="I6" s="17">
        <f t="shared" si="1"/>
        <v>13</v>
      </c>
      <c r="J6" s="18"/>
      <c r="K6" s="17"/>
      <c r="L6" s="17">
        <f t="shared" si="2"/>
        <v>13</v>
      </c>
      <c r="M6" s="15">
        <f t="shared" si="3"/>
        <v>0</v>
      </c>
      <c r="N6" s="15">
        <f t="shared" si="4"/>
        <v>3744</v>
      </c>
      <c r="O6" s="19">
        <f t="shared" si="5"/>
        <v>0</v>
      </c>
    </row>
    <row r="7" spans="1:15" s="20" customFormat="1" ht="14.5" customHeight="1" x14ac:dyDescent="0.3">
      <c r="A7" s="11">
        <v>3</v>
      </c>
      <c r="B7" s="21" t="s">
        <v>24</v>
      </c>
      <c r="C7" s="12"/>
      <c r="D7" s="13" t="s">
        <v>21</v>
      </c>
      <c r="E7" s="14">
        <v>14</v>
      </c>
      <c r="F7" s="15">
        <v>288</v>
      </c>
      <c r="G7" s="15">
        <f t="shared" si="0"/>
        <v>4032</v>
      </c>
      <c r="H7" s="16" t="s">
        <v>25</v>
      </c>
      <c r="I7" s="17">
        <f t="shared" si="1"/>
        <v>14</v>
      </c>
      <c r="J7" s="18"/>
      <c r="K7" s="17"/>
      <c r="L7" s="17">
        <f t="shared" si="2"/>
        <v>14</v>
      </c>
      <c r="M7" s="15">
        <f t="shared" si="3"/>
        <v>0</v>
      </c>
      <c r="N7" s="15">
        <f t="shared" si="4"/>
        <v>4032</v>
      </c>
      <c r="O7" s="19">
        <f t="shared" si="5"/>
        <v>0</v>
      </c>
    </row>
    <row r="8" spans="1:15" s="20" customFormat="1" ht="14.5" customHeight="1" x14ac:dyDescent="0.3">
      <c r="A8" s="11">
        <v>3</v>
      </c>
      <c r="B8" s="22" t="s">
        <v>26</v>
      </c>
      <c r="C8" s="12"/>
      <c r="D8" s="13" t="s">
        <v>21</v>
      </c>
      <c r="E8" s="14">
        <v>2</v>
      </c>
      <c r="F8" s="15">
        <v>288</v>
      </c>
      <c r="G8" s="15">
        <f t="shared" si="0"/>
        <v>576</v>
      </c>
      <c r="H8" s="16" t="s">
        <v>27</v>
      </c>
      <c r="I8" s="17">
        <f t="shared" si="1"/>
        <v>2</v>
      </c>
      <c r="J8" s="18"/>
      <c r="K8" s="17"/>
      <c r="L8" s="17">
        <f t="shared" si="2"/>
        <v>2</v>
      </c>
      <c r="M8" s="15">
        <f t="shared" si="3"/>
        <v>0</v>
      </c>
      <c r="N8" s="15">
        <f t="shared" si="4"/>
        <v>576</v>
      </c>
      <c r="O8" s="19">
        <f t="shared" si="5"/>
        <v>0</v>
      </c>
    </row>
    <row r="9" spans="1:15" s="20" customFormat="1" ht="14.5" customHeight="1" x14ac:dyDescent="0.3">
      <c r="A9" s="11">
        <v>4</v>
      </c>
      <c r="B9" s="12" t="s">
        <v>28</v>
      </c>
      <c r="C9" s="12"/>
      <c r="D9" s="13" t="s">
        <v>21</v>
      </c>
      <c r="E9" s="14">
        <v>13</v>
      </c>
      <c r="F9" s="15">
        <v>288</v>
      </c>
      <c r="G9" s="15">
        <f t="shared" si="0"/>
        <v>3744</v>
      </c>
      <c r="H9" s="16" t="s">
        <v>25</v>
      </c>
      <c r="I9" s="17">
        <f t="shared" si="1"/>
        <v>13</v>
      </c>
      <c r="J9" s="18"/>
      <c r="K9" s="17"/>
      <c r="L9" s="17">
        <f t="shared" si="2"/>
        <v>13</v>
      </c>
      <c r="M9" s="15">
        <f t="shared" si="3"/>
        <v>0</v>
      </c>
      <c r="N9" s="15">
        <f t="shared" si="4"/>
        <v>3744</v>
      </c>
      <c r="O9" s="19">
        <f t="shared" si="5"/>
        <v>0</v>
      </c>
    </row>
    <row r="10" spans="1:15" s="20" customFormat="1" ht="14.5" customHeight="1" x14ac:dyDescent="0.3">
      <c r="A10" s="11">
        <v>6</v>
      </c>
      <c r="B10" s="26" t="s">
        <v>79</v>
      </c>
      <c r="C10" s="12"/>
      <c r="D10" s="13" t="s">
        <v>21</v>
      </c>
      <c r="E10" s="14">
        <v>3</v>
      </c>
      <c r="F10" s="15">
        <v>288</v>
      </c>
      <c r="G10" s="15">
        <f t="shared" si="0"/>
        <v>864</v>
      </c>
      <c r="H10" s="18" t="s">
        <v>38</v>
      </c>
      <c r="I10" s="17">
        <f t="shared" si="1"/>
        <v>3</v>
      </c>
      <c r="J10" s="18"/>
      <c r="K10" s="17"/>
      <c r="L10" s="17">
        <f t="shared" si="2"/>
        <v>3</v>
      </c>
      <c r="M10" s="15">
        <f t="shared" si="3"/>
        <v>0</v>
      </c>
      <c r="N10" s="15">
        <f t="shared" si="4"/>
        <v>864</v>
      </c>
      <c r="O10" s="19">
        <f t="shared" si="5"/>
        <v>0</v>
      </c>
    </row>
    <row r="11" spans="1:15" s="20" customFormat="1" ht="14.5" customHeight="1" x14ac:dyDescent="0.3">
      <c r="A11" s="11">
        <v>6</v>
      </c>
      <c r="B11" s="26" t="s">
        <v>79</v>
      </c>
      <c r="C11" s="12"/>
      <c r="D11" s="13" t="s">
        <v>21</v>
      </c>
      <c r="E11" s="14">
        <v>3</v>
      </c>
      <c r="F11" s="15">
        <v>288</v>
      </c>
      <c r="G11" s="15">
        <f t="shared" si="0"/>
        <v>864</v>
      </c>
      <c r="H11" s="16" t="s">
        <v>80</v>
      </c>
      <c r="I11" s="17">
        <f t="shared" si="1"/>
        <v>3</v>
      </c>
      <c r="J11" s="18"/>
      <c r="K11" s="17"/>
      <c r="L11" s="17">
        <f t="shared" si="2"/>
        <v>3</v>
      </c>
      <c r="M11" s="15">
        <f t="shared" si="3"/>
        <v>0</v>
      </c>
      <c r="N11" s="15">
        <f t="shared" si="4"/>
        <v>864</v>
      </c>
      <c r="O11" s="19">
        <f t="shared" si="5"/>
        <v>0</v>
      </c>
    </row>
    <row r="12" spans="1:15" s="20" customFormat="1" ht="14.5" customHeight="1" x14ac:dyDescent="0.3">
      <c r="A12" s="11">
        <v>7</v>
      </c>
      <c r="B12" s="12" t="s">
        <v>30</v>
      </c>
      <c r="C12" s="12"/>
      <c r="D12" s="13" t="s">
        <v>31</v>
      </c>
      <c r="E12" s="14">
        <v>15</v>
      </c>
      <c r="F12" s="15">
        <v>290</v>
      </c>
      <c r="G12" s="15">
        <f t="shared" si="0"/>
        <v>4350</v>
      </c>
      <c r="H12" s="23" t="s">
        <v>41</v>
      </c>
      <c r="I12" s="17">
        <f t="shared" si="1"/>
        <v>15</v>
      </c>
      <c r="J12" s="18"/>
      <c r="K12" s="17"/>
      <c r="L12" s="17">
        <f t="shared" si="2"/>
        <v>15</v>
      </c>
      <c r="M12" s="15">
        <f t="shared" si="3"/>
        <v>0</v>
      </c>
      <c r="N12" s="15">
        <f t="shared" si="4"/>
        <v>4350</v>
      </c>
      <c r="O12" s="19">
        <f t="shared" si="5"/>
        <v>0</v>
      </c>
    </row>
    <row r="13" spans="1:15" s="24" customFormat="1" ht="14.5" customHeight="1" x14ac:dyDescent="0.3">
      <c r="A13" s="11">
        <v>8</v>
      </c>
      <c r="B13" s="23" t="s">
        <v>32</v>
      </c>
      <c r="C13" s="12"/>
      <c r="D13" s="13" t="s">
        <v>31</v>
      </c>
      <c r="E13" s="14">
        <v>10</v>
      </c>
      <c r="F13" s="15">
        <v>290</v>
      </c>
      <c r="G13" s="15">
        <f t="shared" si="0"/>
        <v>2900</v>
      </c>
      <c r="H13" s="23" t="s">
        <v>41</v>
      </c>
      <c r="I13" s="17">
        <f t="shared" si="1"/>
        <v>10</v>
      </c>
      <c r="J13" s="18"/>
      <c r="K13" s="17"/>
      <c r="L13" s="17">
        <f t="shared" si="2"/>
        <v>10</v>
      </c>
      <c r="M13" s="15">
        <f t="shared" si="3"/>
        <v>0</v>
      </c>
      <c r="N13" s="15">
        <f t="shared" si="4"/>
        <v>2900</v>
      </c>
      <c r="O13" s="19">
        <f t="shared" si="5"/>
        <v>0</v>
      </c>
    </row>
    <row r="14" spans="1:15" s="24" customFormat="1" ht="14.5" customHeight="1" x14ac:dyDescent="0.3">
      <c r="A14" s="11">
        <v>9</v>
      </c>
      <c r="B14" s="25" t="s">
        <v>33</v>
      </c>
      <c r="C14" s="12"/>
      <c r="D14" s="13" t="s">
        <v>34</v>
      </c>
      <c r="E14" s="14">
        <v>4</v>
      </c>
      <c r="F14" s="15">
        <v>324</v>
      </c>
      <c r="G14" s="15">
        <f t="shared" si="0"/>
        <v>1296</v>
      </c>
      <c r="H14" s="16" t="s">
        <v>29</v>
      </c>
      <c r="I14" s="17">
        <f t="shared" si="1"/>
        <v>4</v>
      </c>
      <c r="J14" s="18"/>
      <c r="K14" s="17"/>
      <c r="L14" s="17">
        <f t="shared" si="2"/>
        <v>4</v>
      </c>
      <c r="M14" s="15">
        <f t="shared" si="3"/>
        <v>0</v>
      </c>
      <c r="N14" s="15">
        <f t="shared" si="4"/>
        <v>1296</v>
      </c>
      <c r="O14" s="19">
        <f t="shared" si="5"/>
        <v>0</v>
      </c>
    </row>
    <row r="15" spans="1:15" s="24" customFormat="1" ht="14.5" customHeight="1" x14ac:dyDescent="0.3">
      <c r="A15" s="11">
        <v>10</v>
      </c>
      <c r="B15" s="26" t="s">
        <v>35</v>
      </c>
      <c r="C15" s="12"/>
      <c r="D15" s="13" t="s">
        <v>34</v>
      </c>
      <c r="E15" s="14">
        <v>4</v>
      </c>
      <c r="F15" s="15">
        <v>324</v>
      </c>
      <c r="G15" s="15">
        <f t="shared" si="0"/>
        <v>1296</v>
      </c>
      <c r="H15" s="16" t="s">
        <v>29</v>
      </c>
      <c r="I15" s="17">
        <f t="shared" si="1"/>
        <v>4</v>
      </c>
      <c r="J15" s="18"/>
      <c r="K15" s="17"/>
      <c r="L15" s="17">
        <f t="shared" si="2"/>
        <v>4</v>
      </c>
      <c r="M15" s="15">
        <f t="shared" si="3"/>
        <v>0</v>
      </c>
      <c r="N15" s="15">
        <f t="shared" si="4"/>
        <v>1296</v>
      </c>
      <c r="O15" s="19">
        <f t="shared" si="5"/>
        <v>0</v>
      </c>
    </row>
    <row r="16" spans="1:15" s="24" customFormat="1" ht="14.5" customHeight="1" x14ac:dyDescent="0.3">
      <c r="A16" s="11">
        <v>11</v>
      </c>
      <c r="B16" s="12" t="s">
        <v>37</v>
      </c>
      <c r="C16" s="12"/>
      <c r="D16" s="13" t="s">
        <v>31</v>
      </c>
      <c r="E16" s="14">
        <v>13</v>
      </c>
      <c r="F16" s="15">
        <v>290</v>
      </c>
      <c r="G16" s="15">
        <f t="shared" si="0"/>
        <v>3770</v>
      </c>
      <c r="H16" s="18" t="s">
        <v>38</v>
      </c>
      <c r="I16" s="17">
        <f t="shared" si="1"/>
        <v>13</v>
      </c>
      <c r="J16" s="18"/>
      <c r="K16" s="17"/>
      <c r="L16" s="17">
        <f t="shared" si="2"/>
        <v>13</v>
      </c>
      <c r="M16" s="15">
        <f t="shared" si="3"/>
        <v>0</v>
      </c>
      <c r="N16" s="15">
        <f t="shared" si="4"/>
        <v>3770</v>
      </c>
      <c r="O16" s="19">
        <f t="shared" si="5"/>
        <v>0</v>
      </c>
    </row>
    <row r="17" spans="1:16" s="24" customFormat="1" ht="14.5" customHeight="1" x14ac:dyDescent="0.3">
      <c r="A17" s="11">
        <v>12</v>
      </c>
      <c r="B17" s="12" t="s">
        <v>39</v>
      </c>
      <c r="C17" s="12"/>
      <c r="D17" s="13" t="s">
        <v>31</v>
      </c>
      <c r="E17" s="14">
        <v>13</v>
      </c>
      <c r="F17" s="15">
        <v>290</v>
      </c>
      <c r="G17" s="15">
        <f t="shared" si="0"/>
        <v>3770</v>
      </c>
      <c r="H17" s="18" t="s">
        <v>38</v>
      </c>
      <c r="I17" s="17">
        <f t="shared" si="1"/>
        <v>13</v>
      </c>
      <c r="J17" s="18"/>
      <c r="K17" s="17"/>
      <c r="L17" s="17">
        <f t="shared" si="2"/>
        <v>13</v>
      </c>
      <c r="M17" s="15">
        <f t="shared" si="3"/>
        <v>0</v>
      </c>
      <c r="N17" s="15">
        <f t="shared" si="4"/>
        <v>3770</v>
      </c>
      <c r="O17" s="19">
        <f t="shared" si="5"/>
        <v>0</v>
      </c>
    </row>
    <row r="18" spans="1:16" s="24" customFormat="1" ht="14.5" customHeight="1" x14ac:dyDescent="0.3">
      <c r="A18" s="11">
        <v>13</v>
      </c>
      <c r="B18" s="23" t="s">
        <v>40</v>
      </c>
      <c r="C18" s="12"/>
      <c r="D18" s="13" t="s">
        <v>31</v>
      </c>
      <c r="E18" s="14">
        <v>14</v>
      </c>
      <c r="F18" s="15">
        <v>290</v>
      </c>
      <c r="G18" s="15">
        <f t="shared" si="0"/>
        <v>4060</v>
      </c>
      <c r="H18" s="16" t="s">
        <v>80</v>
      </c>
      <c r="I18" s="17">
        <f t="shared" si="1"/>
        <v>14</v>
      </c>
      <c r="J18" s="18"/>
      <c r="K18" s="17"/>
      <c r="L18" s="17">
        <f t="shared" si="2"/>
        <v>14</v>
      </c>
      <c r="M18" s="15">
        <f t="shared" si="3"/>
        <v>0</v>
      </c>
      <c r="N18" s="15">
        <f t="shared" si="4"/>
        <v>4060</v>
      </c>
      <c r="O18" s="19">
        <f t="shared" si="5"/>
        <v>0</v>
      </c>
    </row>
    <row r="19" spans="1:16" s="24" customFormat="1" ht="14.5" customHeight="1" x14ac:dyDescent="0.3">
      <c r="A19" s="11">
        <v>14</v>
      </c>
      <c r="B19" s="23" t="s">
        <v>42</v>
      </c>
      <c r="C19" s="12"/>
      <c r="D19" s="13" t="s">
        <v>43</v>
      </c>
      <c r="E19" s="14">
        <v>10</v>
      </c>
      <c r="F19" s="15">
        <v>310</v>
      </c>
      <c r="G19" s="15">
        <f t="shared" si="0"/>
        <v>3100</v>
      </c>
      <c r="H19" s="16" t="s">
        <v>80</v>
      </c>
      <c r="I19" s="17">
        <f t="shared" si="1"/>
        <v>10</v>
      </c>
      <c r="J19" s="18"/>
      <c r="K19" s="17"/>
      <c r="L19" s="17">
        <f t="shared" si="2"/>
        <v>10</v>
      </c>
      <c r="M19" s="15">
        <f t="shared" si="3"/>
        <v>0</v>
      </c>
      <c r="N19" s="15">
        <f t="shared" si="4"/>
        <v>3100</v>
      </c>
      <c r="O19" s="19">
        <f t="shared" si="5"/>
        <v>0</v>
      </c>
    </row>
    <row r="20" spans="1:16" s="20" customFormat="1" ht="13" customHeight="1" x14ac:dyDescent="0.3">
      <c r="A20" s="11">
        <v>15</v>
      </c>
      <c r="B20" s="12" t="s">
        <v>44</v>
      </c>
      <c r="C20" s="27"/>
      <c r="D20" s="13" t="s">
        <v>31</v>
      </c>
      <c r="E20" s="14">
        <v>12</v>
      </c>
      <c r="F20" s="15">
        <v>290</v>
      </c>
      <c r="G20" s="15">
        <f t="shared" si="0"/>
        <v>3480</v>
      </c>
      <c r="H20" s="16" t="s">
        <v>29</v>
      </c>
      <c r="I20" s="17">
        <f t="shared" si="1"/>
        <v>12</v>
      </c>
      <c r="J20" s="18"/>
      <c r="K20" s="17"/>
      <c r="L20" s="17">
        <f t="shared" si="2"/>
        <v>12</v>
      </c>
      <c r="M20" s="15">
        <f t="shared" si="3"/>
        <v>0</v>
      </c>
      <c r="N20" s="15">
        <f t="shared" si="4"/>
        <v>3480</v>
      </c>
      <c r="O20" s="19">
        <f t="shared" si="5"/>
        <v>0</v>
      </c>
    </row>
    <row r="21" spans="1:16" s="20" customFormat="1" ht="13" customHeight="1" x14ac:dyDescent="0.3">
      <c r="A21" s="11">
        <v>16</v>
      </c>
      <c r="B21" s="23" t="s">
        <v>45</v>
      </c>
      <c r="C21" s="12"/>
      <c r="D21" s="13" t="s">
        <v>31</v>
      </c>
      <c r="E21" s="14">
        <v>13</v>
      </c>
      <c r="F21" s="15">
        <v>290</v>
      </c>
      <c r="G21" s="15">
        <f t="shared" si="0"/>
        <v>3770</v>
      </c>
      <c r="H21" s="16" t="s">
        <v>29</v>
      </c>
      <c r="I21" s="17">
        <f t="shared" si="1"/>
        <v>13</v>
      </c>
      <c r="J21" s="18"/>
      <c r="K21" s="17"/>
      <c r="L21" s="17">
        <f t="shared" si="2"/>
        <v>13</v>
      </c>
      <c r="M21" s="15">
        <f t="shared" si="3"/>
        <v>0</v>
      </c>
      <c r="N21" s="15">
        <f t="shared" si="4"/>
        <v>3770</v>
      </c>
      <c r="O21" s="19">
        <f t="shared" si="5"/>
        <v>0</v>
      </c>
    </row>
    <row r="22" spans="1:16" s="4" customFormat="1" ht="13" customHeight="1" x14ac:dyDescent="0.3">
      <c r="A22" s="28">
        <v>17</v>
      </c>
      <c r="B22" s="22" t="s">
        <v>26</v>
      </c>
      <c r="C22" s="12"/>
      <c r="D22" s="13" t="s">
        <v>31</v>
      </c>
      <c r="E22" s="14">
        <v>11</v>
      </c>
      <c r="F22" s="15">
        <v>290</v>
      </c>
      <c r="G22" s="15">
        <f t="shared" si="0"/>
        <v>3190</v>
      </c>
      <c r="H22" s="16" t="s">
        <v>27</v>
      </c>
      <c r="I22" s="17">
        <f t="shared" si="1"/>
        <v>11</v>
      </c>
      <c r="J22" s="18"/>
      <c r="K22" s="17"/>
      <c r="L22" s="17">
        <f t="shared" si="2"/>
        <v>11</v>
      </c>
      <c r="M22" s="15">
        <f t="shared" si="3"/>
        <v>0</v>
      </c>
      <c r="N22" s="15">
        <f t="shared" si="4"/>
        <v>3190</v>
      </c>
      <c r="O22" s="19">
        <f t="shared" si="5"/>
        <v>0</v>
      </c>
    </row>
    <row r="23" spans="1:16" s="4" customFormat="1" ht="13" customHeight="1" x14ac:dyDescent="0.3">
      <c r="A23" s="28">
        <v>18</v>
      </c>
      <c r="B23" s="26" t="s">
        <v>46</v>
      </c>
      <c r="C23" s="27"/>
      <c r="D23" s="13" t="s">
        <v>31</v>
      </c>
      <c r="E23" s="14">
        <v>1</v>
      </c>
      <c r="F23" s="15">
        <v>290</v>
      </c>
      <c r="G23" s="15">
        <f t="shared" si="0"/>
        <v>290</v>
      </c>
      <c r="H23" s="16" t="s">
        <v>22</v>
      </c>
      <c r="I23" s="17">
        <f t="shared" si="1"/>
        <v>1</v>
      </c>
      <c r="J23" s="18"/>
      <c r="K23" s="17"/>
      <c r="L23" s="17">
        <f t="shared" si="2"/>
        <v>1</v>
      </c>
      <c r="M23" s="15">
        <f t="shared" si="3"/>
        <v>0</v>
      </c>
      <c r="N23" s="15">
        <f t="shared" si="4"/>
        <v>290</v>
      </c>
      <c r="O23" s="19">
        <f t="shared" si="5"/>
        <v>0</v>
      </c>
    </row>
    <row r="24" spans="1:16" s="4" customFormat="1" ht="13" customHeight="1" x14ac:dyDescent="0.3">
      <c r="A24" s="28">
        <v>18</v>
      </c>
      <c r="B24" s="26" t="s">
        <v>46</v>
      </c>
      <c r="C24" s="27"/>
      <c r="D24" s="13" t="s">
        <v>31</v>
      </c>
      <c r="E24" s="14">
        <v>4</v>
      </c>
      <c r="F24" s="15">
        <v>290</v>
      </c>
      <c r="G24" s="15">
        <f t="shared" si="0"/>
        <v>1160</v>
      </c>
      <c r="H24" s="23" t="s">
        <v>41</v>
      </c>
      <c r="I24" s="17">
        <f t="shared" si="1"/>
        <v>4</v>
      </c>
      <c r="J24" s="18"/>
      <c r="K24" s="17"/>
      <c r="L24" s="17">
        <f t="shared" si="2"/>
        <v>4</v>
      </c>
      <c r="M24" s="15">
        <f t="shared" si="3"/>
        <v>0</v>
      </c>
      <c r="N24" s="15">
        <f t="shared" si="4"/>
        <v>1160</v>
      </c>
      <c r="O24" s="19">
        <f t="shared" si="5"/>
        <v>0</v>
      </c>
    </row>
    <row r="25" spans="1:16" s="4" customFormat="1" ht="13" customHeight="1" x14ac:dyDescent="0.3">
      <c r="A25" s="28">
        <v>18</v>
      </c>
      <c r="B25" s="26" t="s">
        <v>46</v>
      </c>
      <c r="C25" s="27"/>
      <c r="D25" s="13" t="s">
        <v>31</v>
      </c>
      <c r="E25" s="14">
        <v>2</v>
      </c>
      <c r="F25" s="15">
        <v>290</v>
      </c>
      <c r="G25" s="15">
        <f t="shared" si="0"/>
        <v>580</v>
      </c>
      <c r="H25" s="16" t="s">
        <v>27</v>
      </c>
      <c r="I25" s="17">
        <f t="shared" si="1"/>
        <v>2</v>
      </c>
      <c r="J25" s="18"/>
      <c r="K25" s="17"/>
      <c r="L25" s="17">
        <f t="shared" si="2"/>
        <v>2</v>
      </c>
      <c r="M25" s="15">
        <f t="shared" si="3"/>
        <v>0</v>
      </c>
      <c r="N25" s="15">
        <f t="shared" si="4"/>
        <v>580</v>
      </c>
      <c r="O25" s="19">
        <f t="shared" si="5"/>
        <v>0</v>
      </c>
    </row>
    <row r="26" spans="1:16" s="4" customFormat="1" ht="13" customHeight="1" x14ac:dyDescent="0.3">
      <c r="A26" s="28">
        <v>19</v>
      </c>
      <c r="B26" s="29" t="s">
        <v>47</v>
      </c>
      <c r="C26" s="27"/>
      <c r="D26" s="13" t="s">
        <v>31</v>
      </c>
      <c r="E26" s="14">
        <v>13</v>
      </c>
      <c r="F26" s="15">
        <v>290</v>
      </c>
      <c r="G26" s="15">
        <f t="shared" si="0"/>
        <v>3770</v>
      </c>
      <c r="H26" s="23" t="s">
        <v>36</v>
      </c>
      <c r="I26" s="17">
        <f t="shared" si="1"/>
        <v>13</v>
      </c>
      <c r="J26" s="18"/>
      <c r="K26" s="17"/>
      <c r="L26" s="17">
        <f t="shared" si="2"/>
        <v>13</v>
      </c>
      <c r="M26" s="15">
        <f t="shared" si="3"/>
        <v>0</v>
      </c>
      <c r="N26" s="15">
        <f t="shared" si="4"/>
        <v>3770</v>
      </c>
      <c r="O26" s="19">
        <f t="shared" si="5"/>
        <v>0</v>
      </c>
    </row>
    <row r="27" spans="1:16" s="4" customFormat="1" ht="13" customHeight="1" x14ac:dyDescent="0.3">
      <c r="A27" s="28">
        <v>20</v>
      </c>
      <c r="B27" s="12" t="s">
        <v>48</v>
      </c>
      <c r="C27" s="12"/>
      <c r="D27" s="13" t="s">
        <v>43</v>
      </c>
      <c r="E27" s="14">
        <v>13</v>
      </c>
      <c r="F27" s="15">
        <v>310</v>
      </c>
      <c r="G27" s="15">
        <f t="shared" si="0"/>
        <v>4030</v>
      </c>
      <c r="H27" s="23" t="s">
        <v>36</v>
      </c>
      <c r="I27" s="17">
        <f t="shared" si="1"/>
        <v>13</v>
      </c>
      <c r="J27" s="18"/>
      <c r="K27" s="17"/>
      <c r="L27" s="17">
        <f t="shared" si="2"/>
        <v>13</v>
      </c>
      <c r="M27" s="15">
        <f t="shared" si="3"/>
        <v>0</v>
      </c>
      <c r="N27" s="15">
        <f t="shared" si="4"/>
        <v>4030</v>
      </c>
      <c r="O27" s="19">
        <f t="shared" si="5"/>
        <v>0</v>
      </c>
    </row>
    <row r="28" spans="1:16" s="4" customFormat="1" ht="13" customHeight="1" x14ac:dyDescent="0.3">
      <c r="A28" s="28">
        <v>21</v>
      </c>
      <c r="B28" s="23" t="s">
        <v>49</v>
      </c>
      <c r="C28" s="12"/>
      <c r="D28" s="13" t="s">
        <v>31</v>
      </c>
      <c r="E28" s="14">
        <v>12</v>
      </c>
      <c r="F28" s="15">
        <v>290</v>
      </c>
      <c r="G28" s="15">
        <f t="shared" si="0"/>
        <v>3480</v>
      </c>
      <c r="H28" s="16" t="s">
        <v>27</v>
      </c>
      <c r="I28" s="17">
        <f t="shared" si="1"/>
        <v>12</v>
      </c>
      <c r="J28" s="18"/>
      <c r="K28" s="17"/>
      <c r="L28" s="17">
        <f t="shared" si="2"/>
        <v>12</v>
      </c>
      <c r="M28" s="15">
        <f t="shared" si="3"/>
        <v>0</v>
      </c>
      <c r="N28" s="15">
        <f t="shared" si="4"/>
        <v>3480</v>
      </c>
      <c r="O28" s="19">
        <f t="shared" si="5"/>
        <v>0</v>
      </c>
    </row>
    <row r="29" spans="1:16" s="4" customFormat="1" ht="13" customHeight="1" x14ac:dyDescent="0.3">
      <c r="A29" s="30">
        <v>22</v>
      </c>
      <c r="B29" s="23" t="s">
        <v>41</v>
      </c>
      <c r="C29" s="12"/>
      <c r="D29" s="13" t="s">
        <v>43</v>
      </c>
      <c r="E29" s="14">
        <v>2</v>
      </c>
      <c r="F29" s="15">
        <v>310</v>
      </c>
      <c r="G29" s="15">
        <f t="shared" si="0"/>
        <v>620</v>
      </c>
      <c r="H29" s="16" t="s">
        <v>27</v>
      </c>
      <c r="I29" s="17">
        <f t="shared" si="1"/>
        <v>2</v>
      </c>
      <c r="J29" s="18"/>
      <c r="K29" s="17"/>
      <c r="L29" s="17">
        <f t="shared" si="2"/>
        <v>2</v>
      </c>
      <c r="M29" s="15">
        <f t="shared" si="3"/>
        <v>0</v>
      </c>
      <c r="N29" s="15">
        <f t="shared" si="4"/>
        <v>620</v>
      </c>
      <c r="O29" s="19">
        <f t="shared" si="5"/>
        <v>0</v>
      </c>
    </row>
    <row r="30" spans="1:16" s="4" customFormat="1" ht="13" customHeight="1" x14ac:dyDescent="0.3">
      <c r="A30" s="31">
        <v>23</v>
      </c>
      <c r="B30" s="23" t="s">
        <v>81</v>
      </c>
      <c r="C30" s="26" t="s">
        <v>50</v>
      </c>
      <c r="D30" s="13" t="s">
        <v>51</v>
      </c>
      <c r="E30" s="14">
        <v>13</v>
      </c>
      <c r="F30" s="15">
        <v>360</v>
      </c>
      <c r="G30" s="15">
        <f t="shared" si="0"/>
        <v>4680</v>
      </c>
      <c r="H30" s="23" t="s">
        <v>81</v>
      </c>
      <c r="I30" s="17">
        <f t="shared" si="1"/>
        <v>13</v>
      </c>
      <c r="J30" s="18"/>
      <c r="K30" s="17"/>
      <c r="L30" s="17">
        <f t="shared" si="2"/>
        <v>13</v>
      </c>
      <c r="M30" s="15">
        <f t="shared" si="3"/>
        <v>0</v>
      </c>
      <c r="N30" s="15">
        <f t="shared" si="4"/>
        <v>4680</v>
      </c>
      <c r="O30" s="19">
        <f t="shared" si="5"/>
        <v>0</v>
      </c>
    </row>
    <row r="32" spans="1:16" ht="20.149999999999999" customHeight="1" x14ac:dyDescent="0.35">
      <c r="E32" s="32">
        <f>SUM(E5:E30)</f>
        <v>240</v>
      </c>
      <c r="G32" s="33">
        <f>SUM(G5:G30)</f>
        <v>71160</v>
      </c>
      <c r="N32" s="33">
        <f>SUM(N5:N30)</f>
        <v>71160</v>
      </c>
      <c r="O32" s="33">
        <f>SUM(O13:O31)</f>
        <v>0</v>
      </c>
      <c r="P32" s="34">
        <f>+O32+N32</f>
        <v>71160</v>
      </c>
    </row>
    <row r="33" spans="1:14" s="4" customFormat="1" ht="15" thickBot="1" x14ac:dyDescent="0.4">
      <c r="A33" s="6"/>
    </row>
    <row r="34" spans="1:14" s="4" customFormat="1" ht="15" thickBot="1" x14ac:dyDescent="0.4">
      <c r="A34" s="6"/>
      <c r="B34" s="79" t="s">
        <v>52</v>
      </c>
      <c r="C34" s="80"/>
      <c r="D34" s="81" t="s">
        <v>53</v>
      </c>
      <c r="E34" s="82"/>
      <c r="F34" s="82"/>
      <c r="G34" s="82"/>
      <c r="H34" s="83"/>
      <c r="I34" s="81">
        <v>0</v>
      </c>
      <c r="J34" s="82"/>
      <c r="K34" s="82"/>
      <c r="L34" s="82"/>
      <c r="M34" s="82"/>
      <c r="N34" s="83"/>
    </row>
    <row r="35" spans="1:14" s="4" customFormat="1" ht="19.5" customHeight="1" x14ac:dyDescent="0.35">
      <c r="A35" s="6"/>
      <c r="B35" s="38" t="s">
        <v>54</v>
      </c>
      <c r="C35" s="39">
        <v>22</v>
      </c>
      <c r="D35" s="40" t="s">
        <v>55</v>
      </c>
      <c r="E35" s="41" t="s">
        <v>56</v>
      </c>
      <c r="F35" s="41" t="s">
        <v>57</v>
      </c>
      <c r="G35" s="41" t="s">
        <v>58</v>
      </c>
      <c r="H35" s="42" t="s">
        <v>59</v>
      </c>
      <c r="I35" s="40" t="s">
        <v>56</v>
      </c>
      <c r="J35" s="41" t="s">
        <v>60</v>
      </c>
      <c r="K35" s="41" t="s">
        <v>55</v>
      </c>
      <c r="L35" s="41"/>
      <c r="M35" s="41"/>
      <c r="N35" s="42" t="s">
        <v>59</v>
      </c>
    </row>
    <row r="36" spans="1:14" s="4" customFormat="1" ht="15" thickBot="1" x14ac:dyDescent="0.35">
      <c r="A36" s="6"/>
      <c r="B36" s="43" t="s">
        <v>61</v>
      </c>
      <c r="C36" s="44">
        <v>8</v>
      </c>
      <c r="D36" s="13" t="s">
        <v>21</v>
      </c>
      <c r="E36" s="45" t="s">
        <v>62</v>
      </c>
      <c r="F36" s="34">
        <f>SUM(E5:E11)</f>
        <v>61</v>
      </c>
      <c r="G36" s="34">
        <v>288</v>
      </c>
      <c r="H36" s="19">
        <f>F36*G36</f>
        <v>17568</v>
      </c>
      <c r="I36" s="46">
        <v>1</v>
      </c>
      <c r="J36" s="16" t="s">
        <v>63</v>
      </c>
      <c r="K36" s="47" t="s">
        <v>64</v>
      </c>
      <c r="L36" s="14">
        <v>9</v>
      </c>
      <c r="M36" s="48">
        <v>550</v>
      </c>
      <c r="N36" s="49">
        <f>M36*L36</f>
        <v>4950</v>
      </c>
    </row>
    <row r="37" spans="1:14" s="4" customFormat="1" ht="15" thickBot="1" x14ac:dyDescent="0.35">
      <c r="A37" s="50"/>
      <c r="B37" s="87"/>
      <c r="C37" s="51"/>
      <c r="D37" s="13" t="s">
        <v>31</v>
      </c>
      <c r="E37" s="45" t="s">
        <v>65</v>
      </c>
      <c r="F37" s="34">
        <f>SUM(E12:E13,E16:E18,E20:E26,E28)</f>
        <v>133</v>
      </c>
      <c r="G37" s="34">
        <v>290</v>
      </c>
      <c r="H37" s="19">
        <f t="shared" ref="H37:H47" si="6">F37*G37</f>
        <v>38570</v>
      </c>
      <c r="I37" s="46">
        <v>2</v>
      </c>
      <c r="J37" s="16" t="s">
        <v>66</v>
      </c>
      <c r="K37" s="47" t="s">
        <v>64</v>
      </c>
      <c r="L37" s="14">
        <v>9</v>
      </c>
      <c r="M37" s="48">
        <v>550</v>
      </c>
      <c r="N37" s="49">
        <f t="shared" ref="N37:N38" si="7">M37*L37</f>
        <v>4950</v>
      </c>
    </row>
    <row r="38" spans="1:14" s="4" customFormat="1" ht="12.5" customHeight="1" x14ac:dyDescent="0.3">
      <c r="A38" s="6"/>
      <c r="B38" s="84"/>
      <c r="C38" s="51"/>
      <c r="D38" s="13" t="s">
        <v>34</v>
      </c>
      <c r="E38" s="45" t="s">
        <v>67</v>
      </c>
      <c r="F38" s="34">
        <f>SUM(E14:E15)</f>
        <v>8</v>
      </c>
      <c r="G38" s="34">
        <v>324</v>
      </c>
      <c r="H38" s="52">
        <f>F38*G38</f>
        <v>2592</v>
      </c>
      <c r="I38" s="46">
        <v>3</v>
      </c>
      <c r="J38" s="12" t="s">
        <v>68</v>
      </c>
      <c r="K38" s="47" t="s">
        <v>64</v>
      </c>
      <c r="L38" s="14">
        <v>9</v>
      </c>
      <c r="M38" s="48">
        <v>550</v>
      </c>
      <c r="N38" s="49">
        <f t="shared" si="7"/>
        <v>4950</v>
      </c>
    </row>
    <row r="39" spans="1:14" s="4" customFormat="1" ht="15" thickBot="1" x14ac:dyDescent="0.35">
      <c r="A39" s="6"/>
      <c r="B39" s="84"/>
      <c r="C39" s="51"/>
      <c r="D39" s="13" t="s">
        <v>43</v>
      </c>
      <c r="E39" s="45" t="s">
        <v>69</v>
      </c>
      <c r="F39" s="34">
        <f>SUM(E19,E27,E29)</f>
        <v>25</v>
      </c>
      <c r="G39" s="34">
        <v>310</v>
      </c>
      <c r="H39" s="52">
        <f t="shared" si="6"/>
        <v>7750</v>
      </c>
      <c r="I39" s="46"/>
      <c r="J39" s="16"/>
      <c r="K39" s="47"/>
      <c r="L39" s="14"/>
      <c r="M39" s="48">
        <v>550</v>
      </c>
      <c r="N39" s="53">
        <f>M39*L39</f>
        <v>0</v>
      </c>
    </row>
    <row r="40" spans="1:14" s="4" customFormat="1" ht="12" customHeight="1" x14ac:dyDescent="0.3">
      <c r="A40" s="6"/>
      <c r="B40" s="84"/>
      <c r="D40" s="13"/>
      <c r="E40" s="45"/>
      <c r="F40" s="34"/>
      <c r="G40" s="34"/>
      <c r="H40" s="52">
        <f t="shared" si="6"/>
        <v>0</v>
      </c>
      <c r="I40" s="54"/>
      <c r="J40" s="55"/>
      <c r="K40" s="56"/>
      <c r="L40" s="6"/>
      <c r="M40" s="54"/>
      <c r="N40" s="57">
        <f>N36+N38+N37</f>
        <v>14850</v>
      </c>
    </row>
    <row r="41" spans="1:14" s="4" customFormat="1" ht="12" customHeight="1" x14ac:dyDescent="0.3">
      <c r="A41" s="6"/>
      <c r="B41" s="84"/>
      <c r="D41" s="13"/>
      <c r="E41" s="45"/>
      <c r="F41" s="34"/>
      <c r="G41" s="34"/>
      <c r="H41" s="52">
        <f t="shared" si="6"/>
        <v>0</v>
      </c>
      <c r="I41" s="54"/>
      <c r="J41" s="55"/>
      <c r="K41" s="56"/>
      <c r="L41" s="6"/>
      <c r="M41" s="54"/>
      <c r="N41" s="54"/>
    </row>
    <row r="42" spans="1:14" s="4" customFormat="1" ht="14" customHeight="1" thickBot="1" x14ac:dyDescent="0.35">
      <c r="A42" s="6"/>
      <c r="B42" s="84"/>
      <c r="D42" s="13"/>
      <c r="E42" s="45"/>
      <c r="F42" s="34"/>
      <c r="G42" s="34"/>
      <c r="H42" s="52">
        <f t="shared" si="6"/>
        <v>0</v>
      </c>
      <c r="N42" s="58"/>
    </row>
    <row r="43" spans="1:14" s="4" customFormat="1" x14ac:dyDescent="0.3">
      <c r="A43" s="6"/>
      <c r="B43" s="84"/>
      <c r="D43" s="13"/>
      <c r="E43" s="45"/>
      <c r="F43" s="34"/>
      <c r="G43" s="34"/>
      <c r="H43" s="52">
        <f t="shared" si="6"/>
        <v>0</v>
      </c>
      <c r="I43" s="35" t="s">
        <v>70</v>
      </c>
      <c r="J43" s="36"/>
      <c r="K43" s="36"/>
      <c r="L43" s="36"/>
      <c r="M43" s="36"/>
      <c r="N43" s="37"/>
    </row>
    <row r="44" spans="1:14" s="4" customFormat="1" ht="14" customHeight="1" x14ac:dyDescent="0.3">
      <c r="B44" s="84"/>
      <c r="C44" s="59"/>
      <c r="D44" s="13" t="s">
        <v>51</v>
      </c>
      <c r="E44" s="45" t="s">
        <v>71</v>
      </c>
      <c r="F44" s="34">
        <f>SUM(E30)</f>
        <v>13</v>
      </c>
      <c r="G44" s="34">
        <v>360</v>
      </c>
      <c r="H44" s="52">
        <f t="shared" si="6"/>
        <v>4680</v>
      </c>
      <c r="I44" s="60" t="s">
        <v>56</v>
      </c>
      <c r="J44" s="61" t="s">
        <v>72</v>
      </c>
      <c r="K44" s="61" t="s">
        <v>55</v>
      </c>
      <c r="L44" s="61" t="s">
        <v>3</v>
      </c>
      <c r="M44" s="61" t="s">
        <v>58</v>
      </c>
      <c r="N44" s="62" t="s">
        <v>59</v>
      </c>
    </row>
    <row r="45" spans="1:14" s="4" customFormat="1" x14ac:dyDescent="0.3">
      <c r="B45" s="84"/>
      <c r="D45" s="13"/>
      <c r="E45" s="45"/>
      <c r="F45" s="34"/>
      <c r="G45" s="34"/>
      <c r="H45" s="52"/>
      <c r="I45" s="63">
        <v>1</v>
      </c>
      <c r="J45" s="64" t="s">
        <v>73</v>
      </c>
      <c r="K45" s="48" t="s">
        <v>74</v>
      </c>
      <c r="L45" s="34">
        <v>35</v>
      </c>
      <c r="M45" s="48">
        <v>1000</v>
      </c>
      <c r="N45" s="49">
        <f t="shared" ref="N45:N46" si="8">L45*M45</f>
        <v>35000</v>
      </c>
    </row>
    <row r="46" spans="1:14" s="4" customFormat="1" x14ac:dyDescent="0.3">
      <c r="B46" s="84"/>
      <c r="D46" s="13"/>
      <c r="E46" s="45"/>
      <c r="F46" s="34"/>
      <c r="G46" s="34"/>
      <c r="H46" s="52">
        <f t="shared" si="6"/>
        <v>0</v>
      </c>
      <c r="I46" s="46">
        <v>2</v>
      </c>
      <c r="J46" s="64" t="s">
        <v>75</v>
      </c>
      <c r="K46" s="48" t="s">
        <v>74</v>
      </c>
      <c r="L46" s="34">
        <v>22</v>
      </c>
      <c r="M46" s="48">
        <v>1000</v>
      </c>
      <c r="N46" s="49">
        <f t="shared" si="8"/>
        <v>22000</v>
      </c>
    </row>
    <row r="47" spans="1:14" s="4" customFormat="1" ht="15" thickBot="1" x14ac:dyDescent="0.35">
      <c r="B47" s="84"/>
      <c r="D47" s="13"/>
      <c r="E47" s="45"/>
      <c r="F47" s="34"/>
      <c r="G47" s="34"/>
      <c r="H47" s="52">
        <f t="shared" si="6"/>
        <v>0</v>
      </c>
      <c r="I47" s="46">
        <v>3</v>
      </c>
      <c r="J47" s="65" t="s">
        <v>76</v>
      </c>
      <c r="K47" s="48" t="s">
        <v>74</v>
      </c>
      <c r="L47" s="34"/>
      <c r="M47" s="48">
        <v>1000</v>
      </c>
      <c r="N47" s="49">
        <f>L47*M47</f>
        <v>0</v>
      </c>
    </row>
    <row r="48" spans="1:14" s="4" customFormat="1" x14ac:dyDescent="0.35">
      <c r="E48" s="85" t="s">
        <v>59</v>
      </c>
      <c r="F48" s="86"/>
      <c r="G48" s="66">
        <f>SUM(F36:F47)</f>
        <v>240</v>
      </c>
      <c r="H48" s="33">
        <f>SUM(H36:H47)</f>
        <v>71160</v>
      </c>
      <c r="L48" s="4">
        <f>SUM(L45:L47)</f>
        <v>57</v>
      </c>
      <c r="M48" s="57"/>
      <c r="N48" s="67">
        <f>SUM(N45:N47)</f>
        <v>57000</v>
      </c>
    </row>
    <row r="49" spans="1:10" s="4" customFormat="1" x14ac:dyDescent="0.35"/>
    <row r="50" spans="1:10" s="4" customFormat="1" ht="8" customHeight="1" x14ac:dyDescent="0.35"/>
    <row r="51" spans="1:10" s="4" customFormat="1" ht="8.5" customHeight="1" x14ac:dyDescent="0.35"/>
    <row r="52" spans="1:10" s="4" customFormat="1" ht="8" customHeight="1" x14ac:dyDescent="0.25">
      <c r="G52" s="68"/>
    </row>
    <row r="53" spans="1:10" s="4" customFormat="1" ht="15" thickBot="1" x14ac:dyDescent="0.4">
      <c r="C53" s="77"/>
      <c r="D53" s="77"/>
      <c r="I53" s="77"/>
      <c r="J53" s="77"/>
    </row>
    <row r="54" spans="1:10" s="4" customFormat="1" x14ac:dyDescent="0.35">
      <c r="C54" s="78" t="s">
        <v>77</v>
      </c>
      <c r="D54" s="78"/>
      <c r="I54" s="78" t="s">
        <v>78</v>
      </c>
      <c r="J54" s="78"/>
    </row>
    <row r="55" spans="1:10" s="4" customFormat="1" x14ac:dyDescent="0.35"/>
    <row r="60" spans="1:10" s="4" customFormat="1" x14ac:dyDescent="0.35">
      <c r="A60" s="6"/>
      <c r="G60" s="69"/>
    </row>
    <row r="61" spans="1:10" s="4" customFormat="1" x14ac:dyDescent="0.35">
      <c r="A61" s="6"/>
      <c r="E61" s="6"/>
      <c r="G61" s="69"/>
    </row>
    <row r="62" spans="1:10" s="4" customFormat="1" x14ac:dyDescent="0.35">
      <c r="A62" s="6"/>
      <c r="G62" s="69"/>
    </row>
    <row r="63" spans="1:10" s="4" customFormat="1" x14ac:dyDescent="0.35">
      <c r="A63" s="6"/>
      <c r="G63" s="69"/>
    </row>
    <row r="64" spans="1:10" s="4" customFormat="1" x14ac:dyDescent="0.35">
      <c r="A64" s="6"/>
      <c r="G64" s="69"/>
    </row>
    <row r="65" spans="1:7" s="4" customFormat="1" x14ac:dyDescent="0.35">
      <c r="A65" s="6"/>
      <c r="G65" s="69"/>
    </row>
  </sheetData>
  <mergeCells count="10">
    <mergeCell ref="C53:D53"/>
    <mergeCell ref="I53:J53"/>
    <mergeCell ref="C54:D54"/>
    <mergeCell ref="I54:J54"/>
    <mergeCell ref="D1:F1"/>
    <mergeCell ref="B34:C34"/>
    <mergeCell ref="D34:H34"/>
    <mergeCell ref="I34:N34"/>
    <mergeCell ref="B37:B47"/>
    <mergeCell ref="E48:F48"/>
  </mergeCells>
  <conditionalFormatting sqref="P32">
    <cfRule type="cellIs" dxfId="19" priority="1" operator="lessThan">
      <formula>$G$32</formula>
    </cfRule>
    <cfRule type="cellIs" dxfId="18" priority="2" operator="greaterThan">
      <formula>$G$32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B7F7-D111-498D-8911-EBE43B0E3998}">
  <dimension ref="A1:P71"/>
  <sheetViews>
    <sheetView topLeftCell="A15" zoomScale="106" zoomScaleNormal="106" workbookViewId="0">
      <selection activeCell="G14" activeCellId="1" sqref="G5:G6 G14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46147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21</v>
      </c>
      <c r="E5" s="14">
        <v>13</v>
      </c>
      <c r="F5" s="15">
        <v>288</v>
      </c>
      <c r="G5" s="15">
        <f t="shared" ref="G5:G36" si="0">+E5*F5</f>
        <v>3744</v>
      </c>
      <c r="H5" s="16" t="s">
        <v>22</v>
      </c>
      <c r="I5" s="17">
        <f t="shared" ref="I5:I36" si="1">E5</f>
        <v>13</v>
      </c>
      <c r="J5" s="18"/>
      <c r="K5" s="17"/>
      <c r="L5" s="17">
        <f t="shared" ref="L5:L36" si="2">E5</f>
        <v>13</v>
      </c>
      <c r="M5" s="15">
        <f t="shared" ref="M5:M36" si="3">E5-L5</f>
        <v>0</v>
      </c>
      <c r="N5" s="15">
        <f t="shared" ref="N5:N36" si="4">E5*F5</f>
        <v>3744</v>
      </c>
      <c r="O5" s="19">
        <f t="shared" ref="O5:O36" si="5">+K5*F5</f>
        <v>0</v>
      </c>
    </row>
    <row r="6" spans="1:15" s="20" customFormat="1" ht="14.5" customHeight="1" x14ac:dyDescent="0.3">
      <c r="A6" s="11">
        <v>2</v>
      </c>
      <c r="B6" s="23" t="s">
        <v>45</v>
      </c>
      <c r="C6" s="12"/>
      <c r="D6" s="13" t="s">
        <v>21</v>
      </c>
      <c r="E6" s="14">
        <v>13</v>
      </c>
      <c r="F6" s="15">
        <v>288</v>
      </c>
      <c r="G6" s="15">
        <f t="shared" si="0"/>
        <v>3744</v>
      </c>
      <c r="H6" s="16" t="s">
        <v>22</v>
      </c>
      <c r="I6" s="17">
        <f t="shared" si="1"/>
        <v>13</v>
      </c>
      <c r="J6" s="18"/>
      <c r="K6" s="17"/>
      <c r="L6" s="17">
        <f t="shared" si="2"/>
        <v>13</v>
      </c>
      <c r="M6" s="15">
        <f t="shared" si="3"/>
        <v>0</v>
      </c>
      <c r="N6" s="15">
        <f t="shared" si="4"/>
        <v>3744</v>
      </c>
      <c r="O6" s="19">
        <f t="shared" si="5"/>
        <v>0</v>
      </c>
    </row>
    <row r="7" spans="1:15" s="20" customFormat="1" ht="14.5" customHeight="1" x14ac:dyDescent="0.3">
      <c r="A7" s="11">
        <v>3</v>
      </c>
      <c r="B7" s="21" t="s">
        <v>24</v>
      </c>
      <c r="C7" s="12"/>
      <c r="D7" s="13" t="s">
        <v>21</v>
      </c>
      <c r="E7" s="14">
        <v>15</v>
      </c>
      <c r="F7" s="15">
        <v>288</v>
      </c>
      <c r="G7" s="15">
        <f t="shared" si="0"/>
        <v>4320</v>
      </c>
      <c r="H7" s="18" t="s">
        <v>38</v>
      </c>
      <c r="I7" s="17">
        <f t="shared" si="1"/>
        <v>15</v>
      </c>
      <c r="J7" s="18"/>
      <c r="K7" s="17"/>
      <c r="L7" s="17">
        <f t="shared" si="2"/>
        <v>15</v>
      </c>
      <c r="M7" s="15">
        <f t="shared" si="3"/>
        <v>0</v>
      </c>
      <c r="N7" s="15">
        <f t="shared" si="4"/>
        <v>4320</v>
      </c>
      <c r="O7" s="19">
        <f t="shared" si="5"/>
        <v>0</v>
      </c>
    </row>
    <row r="8" spans="1:15" s="20" customFormat="1" ht="14.5" customHeight="1" x14ac:dyDescent="0.3">
      <c r="A8" s="11">
        <v>3</v>
      </c>
      <c r="B8" s="22" t="s">
        <v>26</v>
      </c>
      <c r="C8" s="12"/>
      <c r="D8" s="13" t="s">
        <v>21</v>
      </c>
      <c r="E8" s="14">
        <v>1</v>
      </c>
      <c r="F8" s="15">
        <v>288</v>
      </c>
      <c r="G8" s="15">
        <f t="shared" si="0"/>
        <v>288</v>
      </c>
      <c r="H8" s="23" t="s">
        <v>36</v>
      </c>
      <c r="I8" s="17">
        <f t="shared" si="1"/>
        <v>1</v>
      </c>
      <c r="J8" s="18"/>
      <c r="K8" s="17"/>
      <c r="L8" s="17">
        <f t="shared" si="2"/>
        <v>1</v>
      </c>
      <c r="M8" s="15">
        <f t="shared" si="3"/>
        <v>0</v>
      </c>
      <c r="N8" s="15">
        <f t="shared" si="4"/>
        <v>288</v>
      </c>
      <c r="O8" s="19">
        <f t="shared" si="5"/>
        <v>0</v>
      </c>
    </row>
    <row r="9" spans="1:15" s="20" customFormat="1" ht="14.5" customHeight="1" x14ac:dyDescent="0.3">
      <c r="A9" s="11">
        <v>4</v>
      </c>
      <c r="B9" s="23" t="s">
        <v>32</v>
      </c>
      <c r="C9" s="12"/>
      <c r="D9" s="13" t="s">
        <v>21</v>
      </c>
      <c r="E9" s="14">
        <v>9</v>
      </c>
      <c r="F9" s="15">
        <v>288</v>
      </c>
      <c r="G9" s="15">
        <f t="shared" si="0"/>
        <v>2592</v>
      </c>
      <c r="H9" s="18" t="s">
        <v>38</v>
      </c>
      <c r="I9" s="17">
        <f t="shared" si="1"/>
        <v>9</v>
      </c>
      <c r="J9" s="18"/>
      <c r="K9" s="17"/>
      <c r="L9" s="17">
        <f t="shared" si="2"/>
        <v>9</v>
      </c>
      <c r="M9" s="15">
        <f t="shared" si="3"/>
        <v>0</v>
      </c>
      <c r="N9" s="15">
        <f t="shared" si="4"/>
        <v>2592</v>
      </c>
      <c r="O9" s="19">
        <f t="shared" si="5"/>
        <v>0</v>
      </c>
    </row>
    <row r="10" spans="1:15" s="20" customFormat="1" ht="14.5" customHeight="1" x14ac:dyDescent="0.3">
      <c r="A10" s="11">
        <v>4</v>
      </c>
      <c r="B10" s="23" t="s">
        <v>32</v>
      </c>
      <c r="C10" s="12"/>
      <c r="D10" s="13" t="s">
        <v>87</v>
      </c>
      <c r="E10" s="14">
        <v>2</v>
      </c>
      <c r="F10" s="15">
        <v>310</v>
      </c>
      <c r="G10" s="15">
        <f t="shared" si="0"/>
        <v>620</v>
      </c>
      <c r="H10" s="18" t="s">
        <v>38</v>
      </c>
      <c r="I10" s="17">
        <f t="shared" si="1"/>
        <v>2</v>
      </c>
      <c r="J10" s="18"/>
      <c r="K10" s="17"/>
      <c r="L10" s="17">
        <f t="shared" si="2"/>
        <v>2</v>
      </c>
      <c r="M10" s="15">
        <f t="shared" si="3"/>
        <v>0</v>
      </c>
      <c r="N10" s="15">
        <f t="shared" si="4"/>
        <v>620</v>
      </c>
      <c r="O10" s="19">
        <f t="shared" si="5"/>
        <v>0</v>
      </c>
    </row>
    <row r="11" spans="1:15" s="20" customFormat="1" ht="14.5" customHeight="1" x14ac:dyDescent="0.3">
      <c r="A11" s="11">
        <v>5</v>
      </c>
      <c r="B11" s="16" t="s">
        <v>23</v>
      </c>
      <c r="C11" s="12"/>
      <c r="D11" s="13" t="s">
        <v>21</v>
      </c>
      <c r="E11" s="14">
        <v>13</v>
      </c>
      <c r="F11" s="15">
        <v>288</v>
      </c>
      <c r="G11" s="15">
        <f t="shared" si="0"/>
        <v>3744</v>
      </c>
      <c r="H11" s="16" t="s">
        <v>27</v>
      </c>
      <c r="I11" s="17">
        <f t="shared" si="1"/>
        <v>13</v>
      </c>
      <c r="J11" s="18"/>
      <c r="K11" s="17"/>
      <c r="L11" s="17">
        <f t="shared" si="2"/>
        <v>13</v>
      </c>
      <c r="M11" s="15">
        <f t="shared" si="3"/>
        <v>0</v>
      </c>
      <c r="N11" s="15">
        <f t="shared" si="4"/>
        <v>3744</v>
      </c>
      <c r="O11" s="19">
        <f t="shared" si="5"/>
        <v>0</v>
      </c>
    </row>
    <row r="12" spans="1:15" s="20" customFormat="1" ht="14.5" customHeight="1" x14ac:dyDescent="0.3">
      <c r="A12" s="11">
        <v>6</v>
      </c>
      <c r="B12" s="70" t="s">
        <v>82</v>
      </c>
      <c r="C12" s="26" t="s">
        <v>83</v>
      </c>
      <c r="D12" s="13" t="s">
        <v>21</v>
      </c>
      <c r="E12" s="14">
        <v>7</v>
      </c>
      <c r="F12" s="15">
        <v>288</v>
      </c>
      <c r="G12" s="15">
        <f t="shared" si="0"/>
        <v>2016</v>
      </c>
      <c r="H12" s="12" t="s">
        <v>37</v>
      </c>
      <c r="I12" s="17">
        <f t="shared" si="1"/>
        <v>7</v>
      </c>
      <c r="J12" s="18"/>
      <c r="K12" s="17"/>
      <c r="L12" s="17">
        <f t="shared" si="2"/>
        <v>7</v>
      </c>
      <c r="M12" s="15">
        <f t="shared" si="3"/>
        <v>0</v>
      </c>
      <c r="N12" s="15">
        <f t="shared" si="4"/>
        <v>2016</v>
      </c>
      <c r="O12" s="19">
        <f t="shared" si="5"/>
        <v>0</v>
      </c>
    </row>
    <row r="13" spans="1:15" s="20" customFormat="1" ht="14.5" customHeight="1" x14ac:dyDescent="0.3">
      <c r="A13" s="11">
        <v>6</v>
      </c>
      <c r="B13" s="70" t="s">
        <v>82</v>
      </c>
      <c r="C13" s="26" t="s">
        <v>83</v>
      </c>
      <c r="D13" s="13" t="s">
        <v>89</v>
      </c>
      <c r="E13" s="14">
        <v>1</v>
      </c>
      <c r="F13" s="15">
        <v>310</v>
      </c>
      <c r="G13" s="15">
        <f t="shared" si="0"/>
        <v>310</v>
      </c>
      <c r="H13" s="12" t="s">
        <v>92</v>
      </c>
      <c r="I13" s="17">
        <f t="shared" si="1"/>
        <v>1</v>
      </c>
      <c r="J13" s="18"/>
      <c r="K13" s="17"/>
      <c r="L13" s="17">
        <f t="shared" si="2"/>
        <v>1</v>
      </c>
      <c r="M13" s="15">
        <f t="shared" si="3"/>
        <v>0</v>
      </c>
      <c r="N13" s="15">
        <f t="shared" si="4"/>
        <v>310</v>
      </c>
      <c r="O13" s="19">
        <f t="shared" si="5"/>
        <v>0</v>
      </c>
    </row>
    <row r="14" spans="1:15" s="20" customFormat="1" ht="14.5" customHeight="1" x14ac:dyDescent="0.3">
      <c r="A14" s="11">
        <v>7</v>
      </c>
      <c r="B14" s="23" t="s">
        <v>40</v>
      </c>
      <c r="C14" s="12"/>
      <c r="D14" s="13" t="s">
        <v>31</v>
      </c>
      <c r="E14" s="14">
        <v>5</v>
      </c>
      <c r="F14" s="15">
        <v>290</v>
      </c>
      <c r="G14" s="15">
        <f t="shared" si="0"/>
        <v>1450</v>
      </c>
      <c r="H14" s="16" t="s">
        <v>22</v>
      </c>
      <c r="I14" s="17">
        <f t="shared" si="1"/>
        <v>5</v>
      </c>
      <c r="J14" s="18"/>
      <c r="K14" s="17"/>
      <c r="L14" s="17">
        <f t="shared" si="2"/>
        <v>5</v>
      </c>
      <c r="M14" s="15">
        <f t="shared" si="3"/>
        <v>0</v>
      </c>
      <c r="N14" s="15">
        <f t="shared" si="4"/>
        <v>1450</v>
      </c>
      <c r="O14" s="19">
        <f t="shared" si="5"/>
        <v>0</v>
      </c>
    </row>
    <row r="15" spans="1:15" s="20" customFormat="1" ht="14.5" customHeight="1" x14ac:dyDescent="0.3">
      <c r="A15" s="11">
        <v>7</v>
      </c>
      <c r="B15" s="23" t="s">
        <v>40</v>
      </c>
      <c r="C15" s="12"/>
      <c r="D15" s="13" t="s">
        <v>31</v>
      </c>
      <c r="E15" s="14">
        <v>5</v>
      </c>
      <c r="F15" s="15">
        <v>290</v>
      </c>
      <c r="G15" s="15">
        <f t="shared" si="0"/>
        <v>1450</v>
      </c>
      <c r="H15" s="18" t="s">
        <v>38</v>
      </c>
      <c r="I15" s="17">
        <f t="shared" si="1"/>
        <v>5</v>
      </c>
      <c r="J15" s="18"/>
      <c r="K15" s="17"/>
      <c r="L15" s="17">
        <f t="shared" si="2"/>
        <v>5</v>
      </c>
      <c r="M15" s="15">
        <f t="shared" si="3"/>
        <v>0</v>
      </c>
      <c r="N15" s="15">
        <f t="shared" si="4"/>
        <v>1450</v>
      </c>
      <c r="O15" s="19"/>
    </row>
    <row r="16" spans="1:15" s="20" customFormat="1" ht="14.5" customHeight="1" x14ac:dyDescent="0.3">
      <c r="A16" s="11">
        <v>7</v>
      </c>
      <c r="B16" s="23" t="s">
        <v>40</v>
      </c>
      <c r="C16" s="12"/>
      <c r="D16" s="13" t="s">
        <v>31</v>
      </c>
      <c r="E16" s="14">
        <v>4</v>
      </c>
      <c r="F16" s="15">
        <v>290</v>
      </c>
      <c r="G16" s="15">
        <f t="shared" si="0"/>
        <v>1160</v>
      </c>
      <c r="H16" s="23" t="s">
        <v>41</v>
      </c>
      <c r="I16" s="17">
        <f t="shared" si="1"/>
        <v>4</v>
      </c>
      <c r="J16" s="18"/>
      <c r="K16" s="17"/>
      <c r="L16" s="17">
        <f t="shared" si="2"/>
        <v>4</v>
      </c>
      <c r="M16" s="15">
        <f t="shared" si="3"/>
        <v>0</v>
      </c>
      <c r="N16" s="15">
        <f t="shared" si="4"/>
        <v>1160</v>
      </c>
      <c r="O16" s="19"/>
    </row>
    <row r="17" spans="1:15" s="24" customFormat="1" ht="14.5" customHeight="1" x14ac:dyDescent="0.3">
      <c r="A17" s="11">
        <v>8</v>
      </c>
      <c r="B17" s="12" t="s">
        <v>28</v>
      </c>
      <c r="C17" s="12"/>
      <c r="D17" s="13" t="s">
        <v>31</v>
      </c>
      <c r="E17" s="14">
        <v>13</v>
      </c>
      <c r="F17" s="15">
        <v>290</v>
      </c>
      <c r="G17" s="15">
        <f t="shared" si="0"/>
        <v>3770</v>
      </c>
      <c r="H17" s="16" t="s">
        <v>27</v>
      </c>
      <c r="I17" s="17">
        <f t="shared" si="1"/>
        <v>13</v>
      </c>
      <c r="J17" s="18"/>
      <c r="K17" s="17"/>
      <c r="L17" s="17">
        <f t="shared" si="2"/>
        <v>13</v>
      </c>
      <c r="M17" s="15">
        <f t="shared" si="3"/>
        <v>0</v>
      </c>
      <c r="N17" s="15">
        <f t="shared" si="4"/>
        <v>3770</v>
      </c>
      <c r="O17" s="19">
        <f t="shared" si="5"/>
        <v>0</v>
      </c>
    </row>
    <row r="18" spans="1:15" s="24" customFormat="1" ht="14.5" customHeight="1" x14ac:dyDescent="0.3">
      <c r="A18" s="11">
        <v>9</v>
      </c>
      <c r="B18" s="25" t="s">
        <v>33</v>
      </c>
      <c r="C18" s="12"/>
      <c r="D18" s="13" t="s">
        <v>34</v>
      </c>
      <c r="E18" s="14">
        <v>4</v>
      </c>
      <c r="F18" s="15">
        <v>324</v>
      </c>
      <c r="G18" s="15">
        <f t="shared" si="0"/>
        <v>1296</v>
      </c>
      <c r="H18" s="16" t="s">
        <v>80</v>
      </c>
      <c r="I18" s="17">
        <f t="shared" si="1"/>
        <v>4</v>
      </c>
      <c r="J18" s="18"/>
      <c r="K18" s="17"/>
      <c r="L18" s="17">
        <f t="shared" si="2"/>
        <v>4</v>
      </c>
      <c r="M18" s="15">
        <f t="shared" si="3"/>
        <v>0</v>
      </c>
      <c r="N18" s="15">
        <f t="shared" si="4"/>
        <v>1296</v>
      </c>
      <c r="O18" s="19">
        <f t="shared" si="5"/>
        <v>0</v>
      </c>
    </row>
    <row r="19" spans="1:15" s="24" customFormat="1" ht="14.5" customHeight="1" x14ac:dyDescent="0.3">
      <c r="A19" s="11">
        <v>9</v>
      </c>
      <c r="B19" s="25" t="s">
        <v>33</v>
      </c>
      <c r="C19" s="12"/>
      <c r="D19" s="13" t="s">
        <v>34</v>
      </c>
      <c r="E19" s="14">
        <v>2</v>
      </c>
      <c r="F19" s="15">
        <v>324</v>
      </c>
      <c r="G19" s="15">
        <f t="shared" si="0"/>
        <v>648</v>
      </c>
      <c r="H19" s="71" t="s">
        <v>91</v>
      </c>
      <c r="I19" s="17">
        <f t="shared" si="1"/>
        <v>2</v>
      </c>
      <c r="J19" s="18"/>
      <c r="K19" s="17"/>
      <c r="L19" s="17">
        <f t="shared" si="2"/>
        <v>2</v>
      </c>
      <c r="M19" s="15">
        <f t="shared" si="3"/>
        <v>0</v>
      </c>
      <c r="N19" s="15">
        <f t="shared" si="4"/>
        <v>648</v>
      </c>
      <c r="O19" s="19"/>
    </row>
    <row r="20" spans="1:15" s="24" customFormat="1" ht="14.5" customHeight="1" x14ac:dyDescent="0.3">
      <c r="A20" s="11">
        <v>10</v>
      </c>
      <c r="B20" s="26" t="s">
        <v>35</v>
      </c>
      <c r="C20" s="12"/>
      <c r="D20" s="13" t="s">
        <v>34</v>
      </c>
      <c r="E20" s="14">
        <v>4</v>
      </c>
      <c r="F20" s="15">
        <v>324</v>
      </c>
      <c r="G20" s="15">
        <f t="shared" si="0"/>
        <v>1296</v>
      </c>
      <c r="H20" s="16" t="s">
        <v>27</v>
      </c>
      <c r="I20" s="17">
        <f t="shared" si="1"/>
        <v>4</v>
      </c>
      <c r="J20" s="18"/>
      <c r="K20" s="17"/>
      <c r="L20" s="17">
        <f t="shared" si="2"/>
        <v>4</v>
      </c>
      <c r="M20" s="15">
        <f t="shared" si="3"/>
        <v>0</v>
      </c>
      <c r="N20" s="15">
        <f t="shared" si="4"/>
        <v>1296</v>
      </c>
      <c r="O20" s="19">
        <f t="shared" si="5"/>
        <v>0</v>
      </c>
    </row>
    <row r="21" spans="1:15" s="24" customFormat="1" ht="14.5" customHeight="1" x14ac:dyDescent="0.3">
      <c r="A21" s="11">
        <v>11</v>
      </c>
      <c r="B21" s="12" t="s">
        <v>30</v>
      </c>
      <c r="C21" s="12"/>
      <c r="D21" s="13" t="s">
        <v>31</v>
      </c>
      <c r="E21" s="14">
        <v>16</v>
      </c>
      <c r="F21" s="15">
        <v>290</v>
      </c>
      <c r="G21" s="15">
        <f t="shared" si="0"/>
        <v>4640</v>
      </c>
      <c r="H21" s="23" t="s">
        <v>41</v>
      </c>
      <c r="I21" s="17">
        <f t="shared" si="1"/>
        <v>16</v>
      </c>
      <c r="J21" s="18"/>
      <c r="K21" s="17"/>
      <c r="L21" s="17">
        <f t="shared" si="2"/>
        <v>16</v>
      </c>
      <c r="M21" s="15">
        <f t="shared" si="3"/>
        <v>0</v>
      </c>
      <c r="N21" s="15">
        <f t="shared" si="4"/>
        <v>4640</v>
      </c>
      <c r="O21" s="19">
        <f t="shared" si="5"/>
        <v>0</v>
      </c>
    </row>
    <row r="22" spans="1:15" s="24" customFormat="1" ht="14.5" customHeight="1" x14ac:dyDescent="0.3">
      <c r="A22" s="11">
        <v>12</v>
      </c>
      <c r="B22" s="12" t="s">
        <v>44</v>
      </c>
      <c r="C22" s="12"/>
      <c r="D22" s="13" t="s">
        <v>31</v>
      </c>
      <c r="E22" s="14">
        <v>14</v>
      </c>
      <c r="F22" s="15">
        <v>290</v>
      </c>
      <c r="G22" s="15">
        <f t="shared" si="0"/>
        <v>4060</v>
      </c>
      <c r="H22" s="23" t="s">
        <v>41</v>
      </c>
      <c r="I22" s="17">
        <f t="shared" si="1"/>
        <v>14</v>
      </c>
      <c r="J22" s="18"/>
      <c r="K22" s="17"/>
      <c r="L22" s="17">
        <f t="shared" si="2"/>
        <v>14</v>
      </c>
      <c r="M22" s="15">
        <f t="shared" si="3"/>
        <v>0</v>
      </c>
      <c r="N22" s="15">
        <f t="shared" si="4"/>
        <v>4060</v>
      </c>
      <c r="O22" s="19">
        <f t="shared" si="5"/>
        <v>0</v>
      </c>
    </row>
    <row r="23" spans="1:15" s="24" customFormat="1" ht="14.5" customHeight="1" x14ac:dyDescent="0.3">
      <c r="A23" s="11">
        <v>13</v>
      </c>
      <c r="B23" s="23" t="s">
        <v>49</v>
      </c>
      <c r="C23" s="12"/>
      <c r="D23" s="13" t="s">
        <v>31</v>
      </c>
      <c r="E23" s="14">
        <v>14</v>
      </c>
      <c r="F23" s="15">
        <v>290</v>
      </c>
      <c r="G23" s="15">
        <f t="shared" si="0"/>
        <v>4060</v>
      </c>
      <c r="H23" s="16" t="s">
        <v>80</v>
      </c>
      <c r="I23" s="17">
        <f t="shared" si="1"/>
        <v>14</v>
      </c>
      <c r="J23" s="18"/>
      <c r="K23" s="17"/>
      <c r="L23" s="17">
        <f t="shared" si="2"/>
        <v>14</v>
      </c>
      <c r="M23" s="15">
        <f t="shared" si="3"/>
        <v>0</v>
      </c>
      <c r="N23" s="15">
        <f t="shared" si="4"/>
        <v>4060</v>
      </c>
      <c r="O23" s="19">
        <f t="shared" si="5"/>
        <v>0</v>
      </c>
    </row>
    <row r="24" spans="1:15" s="24" customFormat="1" ht="14.5" customHeight="1" x14ac:dyDescent="0.3">
      <c r="A24" s="11">
        <v>14</v>
      </c>
      <c r="B24" s="12" t="s">
        <v>48</v>
      </c>
      <c r="C24" s="12"/>
      <c r="D24" s="13" t="s">
        <v>43</v>
      </c>
      <c r="E24" s="14">
        <v>13</v>
      </c>
      <c r="F24" s="15">
        <v>310</v>
      </c>
      <c r="G24" s="15">
        <f t="shared" si="0"/>
        <v>4030</v>
      </c>
      <c r="H24" s="16" t="s">
        <v>80</v>
      </c>
      <c r="I24" s="17">
        <f t="shared" si="1"/>
        <v>13</v>
      </c>
      <c r="J24" s="18"/>
      <c r="K24" s="17"/>
      <c r="L24" s="17">
        <f t="shared" si="2"/>
        <v>13</v>
      </c>
      <c r="M24" s="15">
        <f t="shared" si="3"/>
        <v>0</v>
      </c>
      <c r="N24" s="15">
        <f t="shared" si="4"/>
        <v>4030</v>
      </c>
      <c r="O24" s="19">
        <f t="shared" si="5"/>
        <v>0</v>
      </c>
    </row>
    <row r="25" spans="1:15" s="20" customFormat="1" ht="13" customHeight="1" x14ac:dyDescent="0.3">
      <c r="A25" s="11">
        <v>15</v>
      </c>
      <c r="B25" s="12" t="s">
        <v>39</v>
      </c>
      <c r="C25" s="27"/>
      <c r="D25" s="13" t="s">
        <v>31</v>
      </c>
      <c r="E25" s="14">
        <v>13</v>
      </c>
      <c r="F25" s="15">
        <v>290</v>
      </c>
      <c r="G25" s="15">
        <f t="shared" si="0"/>
        <v>3770</v>
      </c>
      <c r="H25" s="23" t="s">
        <v>36</v>
      </c>
      <c r="I25" s="17">
        <f t="shared" si="1"/>
        <v>13</v>
      </c>
      <c r="J25" s="18"/>
      <c r="K25" s="17"/>
      <c r="L25" s="17">
        <f t="shared" si="2"/>
        <v>13</v>
      </c>
      <c r="M25" s="15">
        <f t="shared" si="3"/>
        <v>0</v>
      </c>
      <c r="N25" s="15">
        <f t="shared" si="4"/>
        <v>3770</v>
      </c>
      <c r="O25" s="19">
        <f t="shared" si="5"/>
        <v>0</v>
      </c>
    </row>
    <row r="26" spans="1:15" s="20" customFormat="1" ht="13" customHeight="1" x14ac:dyDescent="0.3">
      <c r="A26" s="11">
        <v>16</v>
      </c>
      <c r="B26" s="22" t="s">
        <v>26</v>
      </c>
      <c r="C26" s="12"/>
      <c r="D26" s="13" t="s">
        <v>31</v>
      </c>
      <c r="E26" s="14">
        <v>12</v>
      </c>
      <c r="F26" s="15">
        <v>290</v>
      </c>
      <c r="G26" s="15">
        <f t="shared" si="0"/>
        <v>3480</v>
      </c>
      <c r="H26" s="23" t="s">
        <v>36</v>
      </c>
      <c r="I26" s="17">
        <f t="shared" si="1"/>
        <v>12</v>
      </c>
      <c r="J26" s="18"/>
      <c r="K26" s="17"/>
      <c r="L26" s="17">
        <f t="shared" si="2"/>
        <v>12</v>
      </c>
      <c r="M26" s="15">
        <f t="shared" si="3"/>
        <v>0</v>
      </c>
      <c r="N26" s="15">
        <f t="shared" si="4"/>
        <v>3480</v>
      </c>
      <c r="O26" s="19">
        <f t="shared" si="5"/>
        <v>0</v>
      </c>
    </row>
    <row r="27" spans="1:15" s="4" customFormat="1" ht="13" customHeight="1" x14ac:dyDescent="0.3">
      <c r="A27" s="28">
        <v>17</v>
      </c>
      <c r="B27" s="70" t="s">
        <v>84</v>
      </c>
      <c r="C27" s="26" t="s">
        <v>85</v>
      </c>
      <c r="D27" s="13" t="s">
        <v>31</v>
      </c>
      <c r="E27" s="14">
        <v>9</v>
      </c>
      <c r="F27" s="15">
        <v>290</v>
      </c>
      <c r="G27" s="15">
        <f t="shared" si="0"/>
        <v>2610</v>
      </c>
      <c r="H27" s="12" t="s">
        <v>37</v>
      </c>
      <c r="I27" s="17">
        <f t="shared" si="1"/>
        <v>9</v>
      </c>
      <c r="J27" s="18"/>
      <c r="K27" s="17"/>
      <c r="L27" s="17">
        <f t="shared" si="2"/>
        <v>9</v>
      </c>
      <c r="M27" s="15">
        <f t="shared" si="3"/>
        <v>0</v>
      </c>
      <c r="N27" s="15">
        <f t="shared" si="4"/>
        <v>2610</v>
      </c>
      <c r="O27" s="19">
        <f t="shared" si="5"/>
        <v>0</v>
      </c>
    </row>
    <row r="28" spans="1:15" s="4" customFormat="1" ht="13" customHeight="1" x14ac:dyDescent="0.3">
      <c r="A28" s="28">
        <v>18</v>
      </c>
      <c r="B28" s="26" t="s">
        <v>46</v>
      </c>
      <c r="C28" s="27"/>
      <c r="D28" s="13" t="s">
        <v>31</v>
      </c>
      <c r="E28" s="14">
        <v>6</v>
      </c>
      <c r="F28" s="15">
        <v>290</v>
      </c>
      <c r="G28" s="15">
        <f t="shared" si="0"/>
        <v>1740</v>
      </c>
      <c r="H28" s="12" t="s">
        <v>37</v>
      </c>
      <c r="I28" s="17">
        <f t="shared" si="1"/>
        <v>6</v>
      </c>
      <c r="J28" s="18"/>
      <c r="K28" s="17"/>
      <c r="L28" s="17">
        <f t="shared" si="2"/>
        <v>6</v>
      </c>
      <c r="M28" s="15">
        <f t="shared" si="3"/>
        <v>0</v>
      </c>
      <c r="N28" s="15">
        <f t="shared" si="4"/>
        <v>1740</v>
      </c>
      <c r="O28" s="19">
        <f t="shared" si="5"/>
        <v>0</v>
      </c>
    </row>
    <row r="29" spans="1:15" s="4" customFormat="1" ht="13" customHeight="1" x14ac:dyDescent="0.3">
      <c r="A29" s="28">
        <v>18</v>
      </c>
      <c r="B29" s="26" t="s">
        <v>46</v>
      </c>
      <c r="C29" s="27"/>
      <c r="D29" s="13" t="s">
        <v>31</v>
      </c>
      <c r="E29" s="14">
        <v>2</v>
      </c>
      <c r="F29" s="15">
        <v>290</v>
      </c>
      <c r="G29" s="15">
        <f t="shared" si="0"/>
        <v>580</v>
      </c>
      <c r="H29" s="12" t="s">
        <v>92</v>
      </c>
      <c r="I29" s="17">
        <f t="shared" si="1"/>
        <v>2</v>
      </c>
      <c r="J29" s="18"/>
      <c r="K29" s="17"/>
      <c r="L29" s="17">
        <f t="shared" si="2"/>
        <v>2</v>
      </c>
      <c r="M29" s="15">
        <f t="shared" si="3"/>
        <v>0</v>
      </c>
      <c r="N29" s="15">
        <f t="shared" si="4"/>
        <v>580</v>
      </c>
      <c r="O29" s="19">
        <f t="shared" si="5"/>
        <v>0</v>
      </c>
    </row>
    <row r="30" spans="1:15" s="4" customFormat="1" ht="13" customHeight="1" x14ac:dyDescent="0.3">
      <c r="A30" s="28">
        <v>19</v>
      </c>
      <c r="B30" s="29" t="s">
        <v>47</v>
      </c>
      <c r="C30" s="27"/>
      <c r="D30" s="13" t="s">
        <v>31</v>
      </c>
      <c r="E30" s="14">
        <v>13</v>
      </c>
      <c r="F30" s="15">
        <v>290</v>
      </c>
      <c r="G30" s="15">
        <f t="shared" si="0"/>
        <v>3770</v>
      </c>
      <c r="H30" s="16" t="s">
        <v>29</v>
      </c>
      <c r="I30" s="17">
        <f t="shared" si="1"/>
        <v>13</v>
      </c>
      <c r="J30" s="18"/>
      <c r="K30" s="17"/>
      <c r="L30" s="17">
        <f t="shared" si="2"/>
        <v>13</v>
      </c>
      <c r="M30" s="15">
        <f t="shared" si="3"/>
        <v>0</v>
      </c>
      <c r="N30" s="15">
        <f t="shared" si="4"/>
        <v>3770</v>
      </c>
      <c r="O30" s="19">
        <f t="shared" si="5"/>
        <v>0</v>
      </c>
    </row>
    <row r="31" spans="1:15" s="4" customFormat="1" ht="13" customHeight="1" x14ac:dyDescent="0.3">
      <c r="A31" s="28">
        <v>20</v>
      </c>
      <c r="B31" s="23" t="s">
        <v>42</v>
      </c>
      <c r="C31" s="12"/>
      <c r="D31" s="13" t="s">
        <v>43</v>
      </c>
      <c r="E31" s="14">
        <v>10</v>
      </c>
      <c r="F31" s="15">
        <v>310</v>
      </c>
      <c r="G31" s="15">
        <f t="shared" si="0"/>
        <v>3100</v>
      </c>
      <c r="H31" s="16" t="s">
        <v>29</v>
      </c>
      <c r="I31" s="17">
        <f t="shared" si="1"/>
        <v>10</v>
      </c>
      <c r="J31" s="18"/>
      <c r="K31" s="17"/>
      <c r="L31" s="17">
        <f t="shared" si="2"/>
        <v>10</v>
      </c>
      <c r="M31" s="15">
        <f t="shared" si="3"/>
        <v>0</v>
      </c>
      <c r="N31" s="15">
        <f t="shared" si="4"/>
        <v>3100</v>
      </c>
      <c r="O31" s="19">
        <f t="shared" si="5"/>
        <v>0</v>
      </c>
    </row>
    <row r="32" spans="1:15" s="4" customFormat="1" ht="13" customHeight="1" x14ac:dyDescent="0.3">
      <c r="A32" s="28">
        <v>21</v>
      </c>
      <c r="B32" s="23" t="s">
        <v>86</v>
      </c>
      <c r="C32" s="12"/>
      <c r="D32" s="13" t="s">
        <v>31</v>
      </c>
      <c r="E32" s="14">
        <v>9</v>
      </c>
      <c r="F32" s="15">
        <v>290</v>
      </c>
      <c r="G32" s="15">
        <f t="shared" si="0"/>
        <v>2610</v>
      </c>
      <c r="H32" s="12" t="s">
        <v>37</v>
      </c>
      <c r="I32" s="17">
        <f t="shared" si="1"/>
        <v>9</v>
      </c>
      <c r="J32" s="18"/>
      <c r="K32" s="17"/>
      <c r="L32" s="17">
        <f t="shared" si="2"/>
        <v>9</v>
      </c>
      <c r="M32" s="15">
        <f t="shared" si="3"/>
        <v>0</v>
      </c>
      <c r="N32" s="15">
        <f t="shared" si="4"/>
        <v>2610</v>
      </c>
      <c r="O32" s="19">
        <f t="shared" si="5"/>
        <v>0</v>
      </c>
    </row>
    <row r="33" spans="1:16" s="4" customFormat="1" ht="13" customHeight="1" x14ac:dyDescent="0.3">
      <c r="A33" s="28">
        <v>21</v>
      </c>
      <c r="B33" s="23" t="s">
        <v>86</v>
      </c>
      <c r="C33" s="12"/>
      <c r="D33" s="13" t="s">
        <v>31</v>
      </c>
      <c r="E33" s="14">
        <v>3</v>
      </c>
      <c r="F33" s="15">
        <v>290</v>
      </c>
      <c r="G33" s="15">
        <f t="shared" si="0"/>
        <v>870</v>
      </c>
      <c r="H33" s="71" t="s">
        <v>93</v>
      </c>
      <c r="I33" s="17">
        <f t="shared" si="1"/>
        <v>3</v>
      </c>
      <c r="J33" s="18"/>
      <c r="K33" s="17"/>
      <c r="L33" s="17">
        <f t="shared" si="2"/>
        <v>3</v>
      </c>
      <c r="M33" s="15">
        <f t="shared" si="3"/>
        <v>0</v>
      </c>
      <c r="N33" s="15">
        <f t="shared" si="4"/>
        <v>870</v>
      </c>
      <c r="O33" s="19">
        <f t="shared" si="5"/>
        <v>0</v>
      </c>
    </row>
    <row r="34" spans="1:16" s="4" customFormat="1" ht="13" customHeight="1" x14ac:dyDescent="0.3">
      <c r="A34" s="30">
        <v>22</v>
      </c>
      <c r="B34" s="26" t="s">
        <v>79</v>
      </c>
      <c r="C34" s="12"/>
      <c r="D34" s="13" t="s">
        <v>43</v>
      </c>
      <c r="E34" s="14">
        <v>3</v>
      </c>
      <c r="F34" s="15">
        <v>310</v>
      </c>
      <c r="G34" s="15">
        <f t="shared" si="0"/>
        <v>930</v>
      </c>
      <c r="H34" s="23" t="s">
        <v>36</v>
      </c>
      <c r="I34" s="17">
        <f t="shared" si="1"/>
        <v>3</v>
      </c>
      <c r="J34" s="18"/>
      <c r="K34" s="17"/>
      <c r="L34" s="17">
        <f t="shared" si="2"/>
        <v>3</v>
      </c>
      <c r="M34" s="15">
        <f t="shared" si="3"/>
        <v>0</v>
      </c>
      <c r="N34" s="15">
        <f t="shared" si="4"/>
        <v>930</v>
      </c>
      <c r="O34" s="19">
        <f t="shared" si="5"/>
        <v>0</v>
      </c>
    </row>
    <row r="35" spans="1:16" s="4" customFormat="1" ht="13" customHeight="1" x14ac:dyDescent="0.3">
      <c r="A35" s="30">
        <v>22</v>
      </c>
      <c r="B35" s="26" t="s">
        <v>79</v>
      </c>
      <c r="C35" s="12"/>
      <c r="D35" s="13" t="s">
        <v>43</v>
      </c>
      <c r="E35" s="14">
        <v>3</v>
      </c>
      <c r="F35" s="15">
        <v>310</v>
      </c>
      <c r="G35" s="15">
        <f t="shared" si="0"/>
        <v>930</v>
      </c>
      <c r="H35" s="16" t="s">
        <v>29</v>
      </c>
      <c r="I35" s="17">
        <f t="shared" si="1"/>
        <v>3</v>
      </c>
      <c r="J35" s="18"/>
      <c r="K35" s="17"/>
      <c r="L35" s="17">
        <f t="shared" si="2"/>
        <v>3</v>
      </c>
      <c r="M35" s="15">
        <f t="shared" si="3"/>
        <v>0</v>
      </c>
      <c r="N35" s="15">
        <f t="shared" si="4"/>
        <v>930</v>
      </c>
      <c r="O35" s="19"/>
    </row>
    <row r="36" spans="1:16" s="4" customFormat="1" ht="13" customHeight="1" x14ac:dyDescent="0.3">
      <c r="A36" s="31">
        <v>23</v>
      </c>
      <c r="B36" s="23" t="s">
        <v>81</v>
      </c>
      <c r="C36" s="26" t="s">
        <v>50</v>
      </c>
      <c r="D36" s="13" t="s">
        <v>51</v>
      </c>
      <c r="E36" s="14">
        <v>15</v>
      </c>
      <c r="F36" s="15">
        <v>360</v>
      </c>
      <c r="G36" s="15">
        <f t="shared" si="0"/>
        <v>5400</v>
      </c>
      <c r="H36" s="23" t="s">
        <v>81</v>
      </c>
      <c r="I36" s="17">
        <f t="shared" si="1"/>
        <v>15</v>
      </c>
      <c r="J36" s="18"/>
      <c r="K36" s="17"/>
      <c r="L36" s="17">
        <f t="shared" si="2"/>
        <v>15</v>
      </c>
      <c r="M36" s="15">
        <f t="shared" si="3"/>
        <v>0</v>
      </c>
      <c r="N36" s="15">
        <f t="shared" si="4"/>
        <v>5400</v>
      </c>
      <c r="O36" s="19">
        <f t="shared" si="5"/>
        <v>0</v>
      </c>
    </row>
    <row r="38" spans="1:16" ht="20.149999999999999" customHeight="1" x14ac:dyDescent="0.35">
      <c r="E38" s="32">
        <f>SUM(E5:E36)</f>
        <v>266</v>
      </c>
      <c r="G38" s="33">
        <f>SUM(G5:G36)</f>
        <v>79028</v>
      </c>
      <c r="N38" s="33">
        <f>SUM(N5:N36)</f>
        <v>79028</v>
      </c>
      <c r="O38" s="33">
        <f>SUM(O17:O37)</f>
        <v>0</v>
      </c>
      <c r="P38" s="34">
        <f>+O38+N38</f>
        <v>79028</v>
      </c>
    </row>
    <row r="39" spans="1:16" s="4" customFormat="1" ht="15" thickBot="1" x14ac:dyDescent="0.4">
      <c r="A39" s="6"/>
    </row>
    <row r="40" spans="1:16" s="4" customFormat="1" ht="15" thickBot="1" x14ac:dyDescent="0.4">
      <c r="A40" s="6"/>
      <c r="B40" s="79" t="s">
        <v>52</v>
      </c>
      <c r="C40" s="80"/>
      <c r="D40" s="81" t="s">
        <v>53</v>
      </c>
      <c r="E40" s="82"/>
      <c r="F40" s="82"/>
      <c r="G40" s="82"/>
      <c r="H40" s="83"/>
      <c r="I40" s="81">
        <v>0</v>
      </c>
      <c r="J40" s="82"/>
      <c r="K40" s="82"/>
      <c r="L40" s="82"/>
      <c r="M40" s="82"/>
      <c r="N40" s="83"/>
    </row>
    <row r="41" spans="1:16" s="4" customFormat="1" ht="19.5" customHeight="1" x14ac:dyDescent="0.35">
      <c r="A41" s="6"/>
      <c r="B41" s="38" t="s">
        <v>54</v>
      </c>
      <c r="C41" s="39">
        <v>25</v>
      </c>
      <c r="D41" s="40" t="s">
        <v>55</v>
      </c>
      <c r="E41" s="41" t="s">
        <v>56</v>
      </c>
      <c r="F41" s="41" t="s">
        <v>57</v>
      </c>
      <c r="G41" s="41" t="s">
        <v>58</v>
      </c>
      <c r="H41" s="42" t="s">
        <v>59</v>
      </c>
      <c r="I41" s="40" t="s">
        <v>56</v>
      </c>
      <c r="J41" s="41" t="s">
        <v>60</v>
      </c>
      <c r="K41" s="41" t="s">
        <v>55</v>
      </c>
      <c r="L41" s="41"/>
      <c r="M41" s="41"/>
      <c r="N41" s="42" t="s">
        <v>59</v>
      </c>
    </row>
    <row r="42" spans="1:16" s="4" customFormat="1" ht="15" thickBot="1" x14ac:dyDescent="0.35">
      <c r="A42" s="6"/>
      <c r="B42" s="43" t="s">
        <v>61</v>
      </c>
      <c r="C42" s="44">
        <v>8</v>
      </c>
      <c r="D42" s="13" t="s">
        <v>21</v>
      </c>
      <c r="E42" s="45" t="s">
        <v>62</v>
      </c>
      <c r="F42" s="34">
        <f>SUM(E5:E9,E11:E12)</f>
        <v>71</v>
      </c>
      <c r="G42" s="34">
        <v>288</v>
      </c>
      <c r="H42" s="19">
        <f>F42*G42</f>
        <v>20448</v>
      </c>
      <c r="I42" s="46">
        <v>1</v>
      </c>
      <c r="J42" s="16" t="s">
        <v>63</v>
      </c>
      <c r="K42" s="47" t="s">
        <v>64</v>
      </c>
      <c r="L42" s="14">
        <v>9</v>
      </c>
      <c r="M42" s="48">
        <v>550</v>
      </c>
      <c r="N42" s="49">
        <f>M42*L42</f>
        <v>4950</v>
      </c>
    </row>
    <row r="43" spans="1:16" s="4" customFormat="1" ht="15" thickBot="1" x14ac:dyDescent="0.35">
      <c r="A43" s="50"/>
      <c r="B43" s="87"/>
      <c r="C43" s="51"/>
      <c r="D43" s="13" t="s">
        <v>31</v>
      </c>
      <c r="E43" s="45" t="s">
        <v>65</v>
      </c>
      <c r="F43" s="34">
        <f>SUM(E14:E17,E21:E23,E25:E30,E32:E33)</f>
        <v>138</v>
      </c>
      <c r="G43" s="34">
        <v>290</v>
      </c>
      <c r="H43" s="19">
        <f t="shared" ref="H43:H53" si="6">F43*G43</f>
        <v>40020</v>
      </c>
      <c r="I43" s="46">
        <v>2</v>
      </c>
      <c r="J43" s="16" t="s">
        <v>66</v>
      </c>
      <c r="K43" s="47" t="s">
        <v>64</v>
      </c>
      <c r="L43" s="14">
        <v>9</v>
      </c>
      <c r="M43" s="48">
        <v>550</v>
      </c>
      <c r="N43" s="49">
        <f t="shared" ref="N43:N44" si="7">M43*L43</f>
        <v>4950</v>
      </c>
    </row>
    <row r="44" spans="1:16" s="4" customFormat="1" ht="12.5" customHeight="1" x14ac:dyDescent="0.3">
      <c r="A44" s="6"/>
      <c r="B44" s="84"/>
      <c r="C44" s="51"/>
      <c r="D44" s="13" t="s">
        <v>34</v>
      </c>
      <c r="E44" s="45" t="s">
        <v>67</v>
      </c>
      <c r="F44" s="34">
        <f>SUM(E18:E20)</f>
        <v>10</v>
      </c>
      <c r="G44" s="34">
        <v>324</v>
      </c>
      <c r="H44" s="52">
        <f>F44*G44</f>
        <v>3240</v>
      </c>
      <c r="I44" s="46">
        <v>3</v>
      </c>
      <c r="J44" s="12" t="s">
        <v>68</v>
      </c>
      <c r="K44" s="47" t="s">
        <v>64</v>
      </c>
      <c r="L44" s="14">
        <v>9</v>
      </c>
      <c r="M44" s="48">
        <v>550</v>
      </c>
      <c r="N44" s="49">
        <f t="shared" si="7"/>
        <v>4950</v>
      </c>
    </row>
    <row r="45" spans="1:16" s="4" customFormat="1" ht="15" thickBot="1" x14ac:dyDescent="0.35">
      <c r="A45" s="6"/>
      <c r="B45" s="84"/>
      <c r="C45" s="51"/>
      <c r="D45" s="13" t="s">
        <v>43</v>
      </c>
      <c r="E45" s="45" t="s">
        <v>69</v>
      </c>
      <c r="F45" s="34">
        <f>SUM(E24,E31,E34,E35)</f>
        <v>29</v>
      </c>
      <c r="G45" s="34">
        <v>310</v>
      </c>
      <c r="H45" s="52">
        <f t="shared" si="6"/>
        <v>8990</v>
      </c>
      <c r="I45" s="46"/>
      <c r="J45" s="16"/>
      <c r="K45" s="47"/>
      <c r="L45" s="14"/>
      <c r="M45" s="48">
        <v>550</v>
      </c>
      <c r="N45" s="53">
        <f>M45*L45</f>
        <v>0</v>
      </c>
    </row>
    <row r="46" spans="1:16" s="4" customFormat="1" ht="12" customHeight="1" x14ac:dyDescent="0.3">
      <c r="A46" s="6"/>
      <c r="B46" s="84"/>
      <c r="D46" s="13"/>
      <c r="E46" s="45"/>
      <c r="F46" s="34"/>
      <c r="G46" s="34"/>
      <c r="H46" s="52">
        <f t="shared" si="6"/>
        <v>0</v>
      </c>
      <c r="I46" s="54"/>
      <c r="J46" s="55"/>
      <c r="K46" s="56"/>
      <c r="L46" s="6"/>
      <c r="M46" s="54"/>
      <c r="N46" s="57">
        <f>N42+N44+N43</f>
        <v>14850</v>
      </c>
    </row>
    <row r="47" spans="1:16" s="4" customFormat="1" ht="12" customHeight="1" x14ac:dyDescent="0.3">
      <c r="A47" s="6"/>
      <c r="B47" s="84"/>
      <c r="D47" s="13" t="s">
        <v>87</v>
      </c>
      <c r="E47" s="45" t="s">
        <v>88</v>
      </c>
      <c r="F47" s="34">
        <f>SUM(E10)</f>
        <v>2</v>
      </c>
      <c r="G47" s="34">
        <v>310</v>
      </c>
      <c r="H47" s="52">
        <f t="shared" si="6"/>
        <v>620</v>
      </c>
      <c r="I47" s="54"/>
      <c r="J47" s="55"/>
      <c r="K47" s="56"/>
      <c r="L47" s="6"/>
      <c r="M47" s="54"/>
      <c r="N47" s="54"/>
    </row>
    <row r="48" spans="1:16" s="4" customFormat="1" ht="14" customHeight="1" thickBot="1" x14ac:dyDescent="0.35">
      <c r="A48" s="6"/>
      <c r="B48" s="84"/>
      <c r="D48" s="13" t="s">
        <v>89</v>
      </c>
      <c r="E48" s="45" t="s">
        <v>90</v>
      </c>
      <c r="F48" s="34">
        <f>SUM(E13)</f>
        <v>1</v>
      </c>
      <c r="G48" s="34">
        <v>310</v>
      </c>
      <c r="H48" s="52">
        <f t="shared" si="6"/>
        <v>310</v>
      </c>
      <c r="N48" s="58"/>
    </row>
    <row r="49" spans="1:14" s="4" customFormat="1" x14ac:dyDescent="0.3">
      <c r="A49" s="6"/>
      <c r="B49" s="84"/>
      <c r="D49" s="13"/>
      <c r="E49" s="45"/>
      <c r="F49" s="34"/>
      <c r="G49" s="34"/>
      <c r="H49" s="52">
        <f t="shared" si="6"/>
        <v>0</v>
      </c>
      <c r="I49" s="35" t="s">
        <v>70</v>
      </c>
      <c r="J49" s="36"/>
      <c r="K49" s="36"/>
      <c r="L49" s="36"/>
      <c r="M49" s="36"/>
      <c r="N49" s="37"/>
    </row>
    <row r="50" spans="1:14" s="4" customFormat="1" ht="14" customHeight="1" x14ac:dyDescent="0.3">
      <c r="B50" s="84"/>
      <c r="C50" s="59"/>
      <c r="D50" s="13" t="s">
        <v>51</v>
      </c>
      <c r="E50" s="45" t="s">
        <v>71</v>
      </c>
      <c r="F50" s="34">
        <f>SUM(E36)</f>
        <v>15</v>
      </c>
      <c r="G50" s="34">
        <v>360</v>
      </c>
      <c r="H50" s="52">
        <f t="shared" si="6"/>
        <v>5400</v>
      </c>
      <c r="I50" s="60" t="s">
        <v>56</v>
      </c>
      <c r="J50" s="61" t="s">
        <v>72</v>
      </c>
      <c r="K50" s="61" t="s">
        <v>55</v>
      </c>
      <c r="L50" s="61" t="s">
        <v>3</v>
      </c>
      <c r="M50" s="61" t="s">
        <v>58</v>
      </c>
      <c r="N50" s="62" t="s">
        <v>59</v>
      </c>
    </row>
    <row r="51" spans="1:14" s="4" customFormat="1" x14ac:dyDescent="0.3">
      <c r="B51" s="84"/>
      <c r="D51" s="13"/>
      <c r="E51" s="45"/>
      <c r="F51" s="34"/>
      <c r="G51" s="34"/>
      <c r="H51" s="52"/>
      <c r="I51" s="63">
        <v>1</v>
      </c>
      <c r="J51" s="64" t="s">
        <v>73</v>
      </c>
      <c r="K51" s="48" t="s">
        <v>74</v>
      </c>
      <c r="L51" s="34">
        <v>36</v>
      </c>
      <c r="M51" s="48">
        <v>1000</v>
      </c>
      <c r="N51" s="49">
        <f t="shared" ref="N51:N52" si="8">L51*M51</f>
        <v>36000</v>
      </c>
    </row>
    <row r="52" spans="1:14" s="4" customFormat="1" x14ac:dyDescent="0.3">
      <c r="B52" s="84"/>
      <c r="D52" s="13"/>
      <c r="E52" s="45"/>
      <c r="F52" s="34"/>
      <c r="G52" s="34"/>
      <c r="H52" s="52">
        <f t="shared" si="6"/>
        <v>0</v>
      </c>
      <c r="I52" s="46">
        <v>2</v>
      </c>
      <c r="J52" s="64" t="s">
        <v>75</v>
      </c>
      <c r="K52" s="48" t="s">
        <v>74</v>
      </c>
      <c r="L52" s="34">
        <v>35</v>
      </c>
      <c r="M52" s="48">
        <v>1000</v>
      </c>
      <c r="N52" s="49">
        <f t="shared" si="8"/>
        <v>35000</v>
      </c>
    </row>
    <row r="53" spans="1:14" s="4" customFormat="1" ht="15" thickBot="1" x14ac:dyDescent="0.35">
      <c r="B53" s="84"/>
      <c r="D53" s="13"/>
      <c r="E53" s="45"/>
      <c r="F53" s="34"/>
      <c r="G53" s="34"/>
      <c r="H53" s="52">
        <f t="shared" si="6"/>
        <v>0</v>
      </c>
      <c r="I53" s="46">
        <v>3</v>
      </c>
      <c r="J53" s="65" t="s">
        <v>76</v>
      </c>
      <c r="K53" s="48" t="s">
        <v>74</v>
      </c>
      <c r="L53" s="34"/>
      <c r="M53" s="48">
        <v>1000</v>
      </c>
      <c r="N53" s="49">
        <f>L53*M53</f>
        <v>0</v>
      </c>
    </row>
    <row r="54" spans="1:14" s="4" customFormat="1" x14ac:dyDescent="0.35">
      <c r="E54" s="85" t="s">
        <v>59</v>
      </c>
      <c r="F54" s="86"/>
      <c r="G54" s="66">
        <f>SUM(F42:F53)</f>
        <v>266</v>
      </c>
      <c r="H54" s="33">
        <f>SUM(H42:H53)</f>
        <v>79028</v>
      </c>
      <c r="L54" s="4">
        <f>SUM(L51:L53)</f>
        <v>71</v>
      </c>
      <c r="M54" s="57"/>
      <c r="N54" s="67">
        <f>SUM(N51:N53)</f>
        <v>71000</v>
      </c>
    </row>
    <row r="55" spans="1:14" s="4" customFormat="1" x14ac:dyDescent="0.35"/>
    <row r="56" spans="1:14" s="4" customFormat="1" ht="8" customHeight="1" x14ac:dyDescent="0.35"/>
    <row r="57" spans="1:14" s="4" customFormat="1" ht="8.5" customHeight="1" x14ac:dyDescent="0.35"/>
    <row r="58" spans="1:14" s="4" customFormat="1" ht="8" customHeight="1" x14ac:dyDescent="0.25">
      <c r="G58" s="68"/>
    </row>
    <row r="59" spans="1:14" s="4" customFormat="1" ht="15" thickBot="1" x14ac:dyDescent="0.4">
      <c r="C59" s="77"/>
      <c r="D59" s="77"/>
      <c r="I59" s="77"/>
      <c r="J59" s="77"/>
    </row>
    <row r="60" spans="1:14" s="4" customFormat="1" x14ac:dyDescent="0.35">
      <c r="C60" s="78" t="s">
        <v>77</v>
      </c>
      <c r="D60" s="78"/>
      <c r="I60" s="78" t="s">
        <v>78</v>
      </c>
      <c r="J60" s="78"/>
    </row>
    <row r="61" spans="1:14" s="4" customFormat="1" x14ac:dyDescent="0.35"/>
    <row r="66" spans="1:7" s="4" customFormat="1" x14ac:dyDescent="0.35">
      <c r="A66" s="6"/>
      <c r="G66" s="69"/>
    </row>
    <row r="67" spans="1:7" s="4" customFormat="1" x14ac:dyDescent="0.35">
      <c r="A67" s="6"/>
      <c r="E67" s="6"/>
      <c r="G67" s="69"/>
    </row>
    <row r="68" spans="1:7" s="4" customFormat="1" x14ac:dyDescent="0.35">
      <c r="A68" s="6"/>
      <c r="G68" s="69"/>
    </row>
    <row r="69" spans="1:7" s="4" customFormat="1" x14ac:dyDescent="0.35">
      <c r="A69" s="6"/>
      <c r="G69" s="69"/>
    </row>
    <row r="70" spans="1:7" s="4" customFormat="1" x14ac:dyDescent="0.35">
      <c r="A70" s="6"/>
      <c r="G70" s="69"/>
    </row>
    <row r="71" spans="1:7" s="4" customFormat="1" x14ac:dyDescent="0.35">
      <c r="A71" s="6"/>
      <c r="G71" s="69"/>
    </row>
  </sheetData>
  <mergeCells count="10">
    <mergeCell ref="C59:D59"/>
    <mergeCell ref="I59:J59"/>
    <mergeCell ref="C60:D60"/>
    <mergeCell ref="I60:J60"/>
    <mergeCell ref="D1:F1"/>
    <mergeCell ref="B40:C40"/>
    <mergeCell ref="D40:H40"/>
    <mergeCell ref="I40:N40"/>
    <mergeCell ref="B43:B53"/>
    <mergeCell ref="E54:F54"/>
  </mergeCells>
  <conditionalFormatting sqref="P38">
    <cfRule type="cellIs" dxfId="17" priority="1" operator="lessThan">
      <formula>$G$38</formula>
    </cfRule>
    <cfRule type="cellIs" dxfId="16" priority="2" operator="greaterThan">
      <formula>$G$38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5845-7086-45EC-8D67-00BF6191229A}">
  <dimension ref="A1:P66"/>
  <sheetViews>
    <sheetView topLeftCell="A15" zoomScale="106" zoomScaleNormal="106" workbookViewId="0">
      <selection activeCell="B31" sqref="B31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46148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94</v>
      </c>
      <c r="E5" s="14">
        <v>12</v>
      </c>
      <c r="F5" s="15">
        <v>310</v>
      </c>
      <c r="G5" s="15">
        <f t="shared" ref="G5:G31" si="0">+E5*F5</f>
        <v>3720</v>
      </c>
      <c r="H5" s="16" t="s">
        <v>22</v>
      </c>
      <c r="I5" s="17">
        <f t="shared" ref="I5:I31" si="1">E5</f>
        <v>12</v>
      </c>
      <c r="J5" s="18"/>
      <c r="K5" s="17"/>
      <c r="L5" s="17">
        <f t="shared" ref="L5:L31" si="2">E5</f>
        <v>12</v>
      </c>
      <c r="M5" s="15">
        <f t="shared" ref="M5:M31" si="3">E5-L5</f>
        <v>0</v>
      </c>
      <c r="N5" s="15">
        <f t="shared" ref="N5:N31" si="4">E5*F5</f>
        <v>3720</v>
      </c>
      <c r="O5" s="19">
        <f t="shared" ref="O5:O31" si="5">+K5*F5</f>
        <v>0</v>
      </c>
    </row>
    <row r="6" spans="1:15" s="20" customFormat="1" ht="14.5" customHeight="1" x14ac:dyDescent="0.3">
      <c r="A6" s="11">
        <v>2</v>
      </c>
      <c r="B6" s="23" t="s">
        <v>45</v>
      </c>
      <c r="C6" s="12"/>
      <c r="D6" s="13" t="s">
        <v>94</v>
      </c>
      <c r="E6" s="14">
        <v>12</v>
      </c>
      <c r="F6" s="15">
        <v>310</v>
      </c>
      <c r="G6" s="15">
        <f t="shared" si="0"/>
        <v>3720</v>
      </c>
      <c r="H6" s="16" t="s">
        <v>22</v>
      </c>
      <c r="I6" s="17">
        <f t="shared" si="1"/>
        <v>12</v>
      </c>
      <c r="J6" s="18"/>
      <c r="K6" s="17"/>
      <c r="L6" s="17">
        <f t="shared" si="2"/>
        <v>12</v>
      </c>
      <c r="M6" s="15">
        <f t="shared" si="3"/>
        <v>0</v>
      </c>
      <c r="N6" s="15">
        <f t="shared" si="4"/>
        <v>3720</v>
      </c>
      <c r="O6" s="19">
        <f t="shared" si="5"/>
        <v>0</v>
      </c>
    </row>
    <row r="7" spans="1:15" s="20" customFormat="1" ht="14.5" customHeight="1" x14ac:dyDescent="0.3">
      <c r="A7" s="11">
        <v>3</v>
      </c>
      <c r="B7" s="21" t="s">
        <v>24</v>
      </c>
      <c r="C7" s="12"/>
      <c r="D7" s="13" t="s">
        <v>87</v>
      </c>
      <c r="E7" s="14">
        <v>13</v>
      </c>
      <c r="F7" s="15">
        <v>310</v>
      </c>
      <c r="G7" s="15">
        <f t="shared" si="0"/>
        <v>4030</v>
      </c>
      <c r="H7" s="18" t="s">
        <v>38</v>
      </c>
      <c r="I7" s="17">
        <f t="shared" si="1"/>
        <v>13</v>
      </c>
      <c r="J7" s="18"/>
      <c r="K7" s="17"/>
      <c r="L7" s="17">
        <f t="shared" si="2"/>
        <v>13</v>
      </c>
      <c r="M7" s="15">
        <f t="shared" si="3"/>
        <v>0</v>
      </c>
      <c r="N7" s="15">
        <f t="shared" si="4"/>
        <v>4030</v>
      </c>
      <c r="O7" s="19">
        <f t="shared" si="5"/>
        <v>0</v>
      </c>
    </row>
    <row r="8" spans="1:15" s="20" customFormat="1" ht="14.5" customHeight="1" x14ac:dyDescent="0.3">
      <c r="A8" s="11">
        <v>3</v>
      </c>
      <c r="B8" s="22" t="s">
        <v>26</v>
      </c>
      <c r="C8" s="12"/>
      <c r="D8" s="13" t="s">
        <v>87</v>
      </c>
      <c r="E8" s="14">
        <v>1</v>
      </c>
      <c r="F8" s="15">
        <v>310</v>
      </c>
      <c r="G8" s="15">
        <f t="shared" si="0"/>
        <v>310</v>
      </c>
      <c r="H8" s="23" t="s">
        <v>36</v>
      </c>
      <c r="I8" s="17">
        <f t="shared" si="1"/>
        <v>1</v>
      </c>
      <c r="J8" s="18"/>
      <c r="K8" s="17"/>
      <c r="L8" s="17">
        <f t="shared" si="2"/>
        <v>1</v>
      </c>
      <c r="M8" s="15">
        <f t="shared" si="3"/>
        <v>0</v>
      </c>
      <c r="N8" s="15">
        <f t="shared" si="4"/>
        <v>310</v>
      </c>
      <c r="O8" s="19">
        <f t="shared" si="5"/>
        <v>0</v>
      </c>
    </row>
    <row r="9" spans="1:15" s="20" customFormat="1" ht="14.5" customHeight="1" x14ac:dyDescent="0.3">
      <c r="A9" s="11">
        <v>4</v>
      </c>
      <c r="B9" s="23" t="s">
        <v>32</v>
      </c>
      <c r="C9" s="12"/>
      <c r="D9" s="13" t="s">
        <v>87</v>
      </c>
      <c r="E9" s="14">
        <v>10</v>
      </c>
      <c r="F9" s="15">
        <v>310</v>
      </c>
      <c r="G9" s="15">
        <f t="shared" si="0"/>
        <v>3100</v>
      </c>
      <c r="H9" s="18" t="s">
        <v>38</v>
      </c>
      <c r="I9" s="17">
        <f t="shared" si="1"/>
        <v>10</v>
      </c>
      <c r="J9" s="18"/>
      <c r="K9" s="17"/>
      <c r="L9" s="17">
        <f t="shared" si="2"/>
        <v>10</v>
      </c>
      <c r="M9" s="15">
        <f t="shared" si="3"/>
        <v>0</v>
      </c>
      <c r="N9" s="15">
        <f t="shared" si="4"/>
        <v>3100</v>
      </c>
      <c r="O9" s="19">
        <f t="shared" si="5"/>
        <v>0</v>
      </c>
    </row>
    <row r="10" spans="1:15" s="20" customFormat="1" ht="14.5" customHeight="1" x14ac:dyDescent="0.3">
      <c r="A10" s="11">
        <v>5</v>
      </c>
      <c r="B10" s="16" t="s">
        <v>23</v>
      </c>
      <c r="C10" s="12"/>
      <c r="D10" s="13" t="s">
        <v>89</v>
      </c>
      <c r="E10" s="14">
        <v>12</v>
      </c>
      <c r="F10" s="15">
        <v>310</v>
      </c>
      <c r="G10" s="15">
        <f t="shared" si="0"/>
        <v>3720</v>
      </c>
      <c r="H10" s="16" t="s">
        <v>27</v>
      </c>
      <c r="I10" s="17">
        <f t="shared" si="1"/>
        <v>12</v>
      </c>
      <c r="J10" s="18"/>
      <c r="K10" s="17"/>
      <c r="L10" s="17">
        <f t="shared" si="2"/>
        <v>12</v>
      </c>
      <c r="M10" s="15">
        <f t="shared" si="3"/>
        <v>0</v>
      </c>
      <c r="N10" s="15">
        <f t="shared" si="4"/>
        <v>3720</v>
      </c>
      <c r="O10" s="19">
        <f t="shared" si="5"/>
        <v>0</v>
      </c>
    </row>
    <row r="11" spans="1:15" s="20" customFormat="1" ht="14.5" customHeight="1" x14ac:dyDescent="0.3">
      <c r="A11" s="11">
        <v>6</v>
      </c>
      <c r="B11" s="70" t="s">
        <v>82</v>
      </c>
      <c r="C11" s="26" t="s">
        <v>83</v>
      </c>
      <c r="D11" s="13" t="s">
        <v>89</v>
      </c>
      <c r="E11" s="14">
        <v>10</v>
      </c>
      <c r="F11" s="15">
        <v>310</v>
      </c>
      <c r="G11" s="15">
        <f t="shared" si="0"/>
        <v>3100</v>
      </c>
      <c r="H11" s="16" t="s">
        <v>27</v>
      </c>
      <c r="I11" s="17">
        <f t="shared" si="1"/>
        <v>10</v>
      </c>
      <c r="J11" s="18"/>
      <c r="K11" s="17"/>
      <c r="L11" s="17">
        <f t="shared" si="2"/>
        <v>10</v>
      </c>
      <c r="M11" s="15">
        <f t="shared" si="3"/>
        <v>0</v>
      </c>
      <c r="N11" s="15">
        <f t="shared" si="4"/>
        <v>3100</v>
      </c>
      <c r="O11" s="19">
        <f t="shared" si="5"/>
        <v>0</v>
      </c>
    </row>
    <row r="12" spans="1:15" s="20" customFormat="1" ht="14.5" customHeight="1" x14ac:dyDescent="0.3">
      <c r="A12" s="11">
        <v>7</v>
      </c>
      <c r="B12" s="23" t="s">
        <v>40</v>
      </c>
      <c r="C12" s="12"/>
      <c r="D12" s="13" t="s">
        <v>95</v>
      </c>
      <c r="E12" s="14">
        <v>13</v>
      </c>
      <c r="F12" s="15">
        <v>310</v>
      </c>
      <c r="G12" s="15">
        <f t="shared" si="0"/>
        <v>4030</v>
      </c>
      <c r="H12" s="16" t="s">
        <v>25</v>
      </c>
      <c r="I12" s="17">
        <f t="shared" si="1"/>
        <v>13</v>
      </c>
      <c r="J12" s="18"/>
      <c r="K12" s="17"/>
      <c r="L12" s="17">
        <f t="shared" si="2"/>
        <v>13</v>
      </c>
      <c r="M12" s="15">
        <f t="shared" si="3"/>
        <v>0</v>
      </c>
      <c r="N12" s="15">
        <f t="shared" si="4"/>
        <v>4030</v>
      </c>
      <c r="O12" s="19">
        <f t="shared" si="5"/>
        <v>0</v>
      </c>
    </row>
    <row r="13" spans="1:15" s="24" customFormat="1" ht="14.5" customHeight="1" x14ac:dyDescent="0.3">
      <c r="A13" s="11">
        <v>8</v>
      </c>
      <c r="B13" s="12" t="s">
        <v>28</v>
      </c>
      <c r="C13" s="12"/>
      <c r="D13" s="13" t="s">
        <v>95</v>
      </c>
      <c r="E13" s="14">
        <v>12</v>
      </c>
      <c r="F13" s="15">
        <v>310</v>
      </c>
      <c r="G13" s="15">
        <f t="shared" si="0"/>
        <v>3720</v>
      </c>
      <c r="H13" s="16" t="s">
        <v>25</v>
      </c>
      <c r="I13" s="17">
        <f t="shared" si="1"/>
        <v>12</v>
      </c>
      <c r="J13" s="18"/>
      <c r="K13" s="17"/>
      <c r="L13" s="17">
        <f t="shared" si="2"/>
        <v>12</v>
      </c>
      <c r="M13" s="15">
        <f t="shared" si="3"/>
        <v>0</v>
      </c>
      <c r="N13" s="15">
        <f t="shared" si="4"/>
        <v>3720</v>
      </c>
      <c r="O13" s="19">
        <f t="shared" si="5"/>
        <v>0</v>
      </c>
    </row>
    <row r="14" spans="1:15" s="24" customFormat="1" ht="14.5" customHeight="1" x14ac:dyDescent="0.3">
      <c r="A14" s="11">
        <v>9</v>
      </c>
      <c r="B14" s="25" t="s">
        <v>33</v>
      </c>
      <c r="C14" s="12"/>
      <c r="D14" s="13" t="s">
        <v>34</v>
      </c>
      <c r="E14" s="14">
        <v>4</v>
      </c>
      <c r="F14" s="15">
        <v>324</v>
      </c>
      <c r="G14" s="15">
        <f t="shared" si="0"/>
        <v>1296</v>
      </c>
      <c r="H14" s="18" t="s">
        <v>38</v>
      </c>
      <c r="I14" s="17">
        <f t="shared" si="1"/>
        <v>4</v>
      </c>
      <c r="J14" s="18"/>
      <c r="K14" s="17"/>
      <c r="L14" s="17">
        <f t="shared" si="2"/>
        <v>4</v>
      </c>
      <c r="M14" s="15">
        <f t="shared" si="3"/>
        <v>0</v>
      </c>
      <c r="N14" s="15">
        <f t="shared" si="4"/>
        <v>1296</v>
      </c>
      <c r="O14" s="19">
        <f t="shared" si="5"/>
        <v>0</v>
      </c>
    </row>
    <row r="15" spans="1:15" s="24" customFormat="1" ht="14.5" customHeight="1" x14ac:dyDescent="0.3">
      <c r="A15" s="11">
        <v>9</v>
      </c>
      <c r="B15" s="25" t="s">
        <v>33</v>
      </c>
      <c r="C15" s="12"/>
      <c r="D15" s="13" t="s">
        <v>34</v>
      </c>
      <c r="E15" s="14">
        <v>3</v>
      </c>
      <c r="F15" s="15">
        <v>324</v>
      </c>
      <c r="G15" s="15">
        <f t="shared" si="0"/>
        <v>972</v>
      </c>
      <c r="H15" s="23" t="s">
        <v>36</v>
      </c>
      <c r="I15" s="17">
        <f t="shared" si="1"/>
        <v>3</v>
      </c>
      <c r="J15" s="18"/>
      <c r="K15" s="17"/>
      <c r="L15" s="17">
        <f t="shared" si="2"/>
        <v>3</v>
      </c>
      <c r="M15" s="15">
        <f t="shared" si="3"/>
        <v>0</v>
      </c>
      <c r="N15" s="15">
        <f t="shared" si="4"/>
        <v>972</v>
      </c>
      <c r="O15" s="19"/>
    </row>
    <row r="16" spans="1:15" s="24" customFormat="1" ht="14.5" customHeight="1" x14ac:dyDescent="0.3">
      <c r="A16" s="11">
        <v>10</v>
      </c>
      <c r="B16" s="26" t="s">
        <v>35</v>
      </c>
      <c r="C16" s="12"/>
      <c r="D16" s="13" t="s">
        <v>34</v>
      </c>
      <c r="E16" s="14">
        <v>4</v>
      </c>
      <c r="F16" s="15">
        <v>324</v>
      </c>
      <c r="G16" s="15">
        <f t="shared" si="0"/>
        <v>1296</v>
      </c>
      <c r="H16" s="16" t="s">
        <v>27</v>
      </c>
      <c r="I16" s="17">
        <f t="shared" si="1"/>
        <v>4</v>
      </c>
      <c r="J16" s="18"/>
      <c r="K16" s="17"/>
      <c r="L16" s="17">
        <f t="shared" si="2"/>
        <v>4</v>
      </c>
      <c r="M16" s="15">
        <f t="shared" si="3"/>
        <v>0</v>
      </c>
      <c r="N16" s="15">
        <f t="shared" si="4"/>
        <v>1296</v>
      </c>
      <c r="O16" s="19">
        <f t="shared" si="5"/>
        <v>0</v>
      </c>
    </row>
    <row r="17" spans="1:15" s="24" customFormat="1" ht="14.5" customHeight="1" x14ac:dyDescent="0.3">
      <c r="A17" s="11">
        <v>11</v>
      </c>
      <c r="B17" s="12" t="s">
        <v>30</v>
      </c>
      <c r="C17" s="12"/>
      <c r="D17" s="13" t="s">
        <v>96</v>
      </c>
      <c r="E17" s="14">
        <v>15</v>
      </c>
      <c r="F17" s="15">
        <v>290</v>
      </c>
      <c r="G17" s="15">
        <f t="shared" si="0"/>
        <v>4350</v>
      </c>
      <c r="H17" s="23" t="s">
        <v>41</v>
      </c>
      <c r="I17" s="17">
        <f t="shared" si="1"/>
        <v>15</v>
      </c>
      <c r="J17" s="18"/>
      <c r="K17" s="17"/>
      <c r="L17" s="17">
        <f t="shared" si="2"/>
        <v>15</v>
      </c>
      <c r="M17" s="15">
        <f t="shared" si="3"/>
        <v>0</v>
      </c>
      <c r="N17" s="15">
        <f t="shared" si="4"/>
        <v>4350</v>
      </c>
      <c r="O17" s="19">
        <f t="shared" si="5"/>
        <v>0</v>
      </c>
    </row>
    <row r="18" spans="1:15" s="24" customFormat="1" ht="14.5" customHeight="1" x14ac:dyDescent="0.3">
      <c r="A18" s="11">
        <v>12</v>
      </c>
      <c r="B18" s="12" t="s">
        <v>44</v>
      </c>
      <c r="C18" s="12"/>
      <c r="D18" s="13" t="s">
        <v>96</v>
      </c>
      <c r="E18" s="14">
        <v>13</v>
      </c>
      <c r="F18" s="15">
        <v>290</v>
      </c>
      <c r="G18" s="15">
        <f t="shared" si="0"/>
        <v>3770</v>
      </c>
      <c r="H18" s="23" t="s">
        <v>41</v>
      </c>
      <c r="I18" s="17">
        <f t="shared" si="1"/>
        <v>13</v>
      </c>
      <c r="J18" s="18"/>
      <c r="K18" s="17"/>
      <c r="L18" s="17">
        <f t="shared" si="2"/>
        <v>13</v>
      </c>
      <c r="M18" s="15">
        <f t="shared" si="3"/>
        <v>0</v>
      </c>
      <c r="N18" s="15">
        <f t="shared" si="4"/>
        <v>3770</v>
      </c>
      <c r="O18" s="19">
        <f t="shared" si="5"/>
        <v>0</v>
      </c>
    </row>
    <row r="19" spans="1:15" s="24" customFormat="1" ht="14.5" customHeight="1" x14ac:dyDescent="0.3">
      <c r="A19" s="11">
        <v>13</v>
      </c>
      <c r="B19" s="23" t="s">
        <v>49</v>
      </c>
      <c r="C19" s="12"/>
      <c r="D19" s="13" t="s">
        <v>96</v>
      </c>
      <c r="E19" s="14">
        <v>14</v>
      </c>
      <c r="F19" s="15">
        <v>290</v>
      </c>
      <c r="G19" s="15">
        <f t="shared" si="0"/>
        <v>4060</v>
      </c>
      <c r="H19" s="16" t="s">
        <v>80</v>
      </c>
      <c r="I19" s="17">
        <f t="shared" si="1"/>
        <v>14</v>
      </c>
      <c r="J19" s="18"/>
      <c r="K19" s="17"/>
      <c r="L19" s="17">
        <f t="shared" si="2"/>
        <v>14</v>
      </c>
      <c r="M19" s="15">
        <f t="shared" si="3"/>
        <v>0</v>
      </c>
      <c r="N19" s="15">
        <f t="shared" si="4"/>
        <v>4060</v>
      </c>
      <c r="O19" s="19">
        <f t="shared" si="5"/>
        <v>0</v>
      </c>
    </row>
    <row r="20" spans="1:15" s="24" customFormat="1" ht="14.5" customHeight="1" x14ac:dyDescent="0.3">
      <c r="A20" s="11">
        <v>14</v>
      </c>
      <c r="B20" s="12" t="s">
        <v>48</v>
      </c>
      <c r="C20" s="12"/>
      <c r="D20" s="13" t="s">
        <v>43</v>
      </c>
      <c r="E20" s="14">
        <v>12</v>
      </c>
      <c r="F20" s="15">
        <v>310</v>
      </c>
      <c r="G20" s="15">
        <f t="shared" si="0"/>
        <v>3720</v>
      </c>
      <c r="H20" s="16" t="s">
        <v>80</v>
      </c>
      <c r="I20" s="17">
        <f t="shared" si="1"/>
        <v>12</v>
      </c>
      <c r="J20" s="18"/>
      <c r="K20" s="17"/>
      <c r="L20" s="17">
        <f t="shared" si="2"/>
        <v>12</v>
      </c>
      <c r="M20" s="15">
        <f t="shared" si="3"/>
        <v>0</v>
      </c>
      <c r="N20" s="15">
        <f t="shared" si="4"/>
        <v>3720</v>
      </c>
      <c r="O20" s="19">
        <f t="shared" si="5"/>
        <v>0</v>
      </c>
    </row>
    <row r="21" spans="1:15" s="20" customFormat="1" ht="13" customHeight="1" x14ac:dyDescent="0.3">
      <c r="A21" s="11">
        <v>15</v>
      </c>
      <c r="B21" s="12" t="s">
        <v>39</v>
      </c>
      <c r="C21" s="27"/>
      <c r="D21" s="13" t="s">
        <v>97</v>
      </c>
      <c r="E21" s="14">
        <v>9.5</v>
      </c>
      <c r="F21" s="15">
        <v>390</v>
      </c>
      <c r="G21" s="15">
        <f t="shared" si="0"/>
        <v>3705</v>
      </c>
      <c r="H21" s="23" t="s">
        <v>36</v>
      </c>
      <c r="I21" s="17">
        <f t="shared" si="1"/>
        <v>9.5</v>
      </c>
      <c r="J21" s="18"/>
      <c r="K21" s="17"/>
      <c r="L21" s="17">
        <f t="shared" si="2"/>
        <v>9.5</v>
      </c>
      <c r="M21" s="15">
        <f t="shared" si="3"/>
        <v>0</v>
      </c>
      <c r="N21" s="15">
        <f t="shared" si="4"/>
        <v>3705</v>
      </c>
      <c r="O21" s="19">
        <f t="shared" si="5"/>
        <v>0</v>
      </c>
    </row>
    <row r="22" spans="1:15" s="20" customFormat="1" ht="13" customHeight="1" x14ac:dyDescent="0.3">
      <c r="A22" s="11">
        <v>15</v>
      </c>
      <c r="B22" s="23" t="s">
        <v>49</v>
      </c>
      <c r="C22" s="27"/>
      <c r="D22" s="13" t="s">
        <v>97</v>
      </c>
      <c r="E22" s="14">
        <v>0.5</v>
      </c>
      <c r="F22" s="15">
        <v>390</v>
      </c>
      <c r="G22" s="15">
        <f t="shared" si="0"/>
        <v>195</v>
      </c>
      <c r="H22" s="16" t="s">
        <v>80</v>
      </c>
      <c r="I22" s="17">
        <f t="shared" si="1"/>
        <v>0.5</v>
      </c>
      <c r="J22" s="18"/>
      <c r="K22" s="17"/>
      <c r="L22" s="17">
        <f t="shared" si="2"/>
        <v>0.5</v>
      </c>
      <c r="M22" s="15">
        <f t="shared" si="3"/>
        <v>0</v>
      </c>
      <c r="N22" s="15">
        <f t="shared" si="4"/>
        <v>195</v>
      </c>
      <c r="O22" s="19">
        <f t="shared" si="5"/>
        <v>0</v>
      </c>
    </row>
    <row r="23" spans="1:15" s="20" customFormat="1" ht="13" customHeight="1" x14ac:dyDescent="0.3">
      <c r="A23" s="11">
        <v>16</v>
      </c>
      <c r="B23" s="22" t="s">
        <v>26</v>
      </c>
      <c r="C23" s="12"/>
      <c r="D23" s="13" t="s">
        <v>97</v>
      </c>
      <c r="E23" s="14">
        <v>9</v>
      </c>
      <c r="F23" s="15">
        <v>390</v>
      </c>
      <c r="G23" s="15">
        <f t="shared" si="0"/>
        <v>3510</v>
      </c>
      <c r="H23" s="23" t="s">
        <v>36</v>
      </c>
      <c r="I23" s="17">
        <f t="shared" si="1"/>
        <v>9</v>
      </c>
      <c r="J23" s="18"/>
      <c r="K23" s="17"/>
      <c r="L23" s="17">
        <f t="shared" si="2"/>
        <v>9</v>
      </c>
      <c r="M23" s="15">
        <f t="shared" si="3"/>
        <v>0</v>
      </c>
      <c r="N23" s="15">
        <f t="shared" si="4"/>
        <v>3510</v>
      </c>
      <c r="O23" s="19">
        <f t="shared" si="5"/>
        <v>0</v>
      </c>
    </row>
    <row r="24" spans="1:15" s="4" customFormat="1" ht="13" customHeight="1" x14ac:dyDescent="0.3">
      <c r="A24" s="28">
        <v>17</v>
      </c>
      <c r="B24" s="70" t="s">
        <v>84</v>
      </c>
      <c r="C24" s="26" t="s">
        <v>85</v>
      </c>
      <c r="D24" s="13" t="s">
        <v>98</v>
      </c>
      <c r="E24" s="14">
        <v>9</v>
      </c>
      <c r="F24" s="15">
        <v>290</v>
      </c>
      <c r="G24" s="15">
        <f t="shared" si="0"/>
        <v>2610</v>
      </c>
      <c r="H24" s="12" t="s">
        <v>37</v>
      </c>
      <c r="I24" s="17">
        <f t="shared" si="1"/>
        <v>9</v>
      </c>
      <c r="J24" s="18"/>
      <c r="K24" s="17"/>
      <c r="L24" s="17">
        <f t="shared" si="2"/>
        <v>9</v>
      </c>
      <c r="M24" s="15">
        <f t="shared" si="3"/>
        <v>0</v>
      </c>
      <c r="N24" s="15">
        <f t="shared" si="4"/>
        <v>2610</v>
      </c>
      <c r="O24" s="19">
        <f t="shared" si="5"/>
        <v>0</v>
      </c>
    </row>
    <row r="25" spans="1:15" s="4" customFormat="1" ht="13" customHeight="1" x14ac:dyDescent="0.3">
      <c r="A25" s="28">
        <v>18</v>
      </c>
      <c r="B25" s="26" t="s">
        <v>46</v>
      </c>
      <c r="C25" s="27"/>
      <c r="D25" s="13" t="s">
        <v>98</v>
      </c>
      <c r="E25" s="14">
        <v>8</v>
      </c>
      <c r="F25" s="15">
        <v>290</v>
      </c>
      <c r="G25" s="15">
        <f t="shared" si="0"/>
        <v>2320</v>
      </c>
      <c r="H25" s="12" t="s">
        <v>37</v>
      </c>
      <c r="I25" s="17">
        <f t="shared" si="1"/>
        <v>8</v>
      </c>
      <c r="J25" s="18"/>
      <c r="K25" s="17"/>
      <c r="L25" s="17">
        <f t="shared" si="2"/>
        <v>8</v>
      </c>
      <c r="M25" s="15">
        <f t="shared" si="3"/>
        <v>0</v>
      </c>
      <c r="N25" s="15">
        <f t="shared" si="4"/>
        <v>2320</v>
      </c>
      <c r="O25" s="19">
        <f t="shared" si="5"/>
        <v>0</v>
      </c>
    </row>
    <row r="26" spans="1:15" s="4" customFormat="1" ht="13" customHeight="1" x14ac:dyDescent="0.3">
      <c r="A26" s="28">
        <v>19</v>
      </c>
      <c r="B26" s="29" t="s">
        <v>47</v>
      </c>
      <c r="C26" s="27"/>
      <c r="D26" s="13" t="s">
        <v>99</v>
      </c>
      <c r="E26" s="14">
        <v>16</v>
      </c>
      <c r="F26" s="15">
        <v>240</v>
      </c>
      <c r="G26" s="15">
        <f t="shared" si="0"/>
        <v>3840</v>
      </c>
      <c r="H26" s="16" t="s">
        <v>29</v>
      </c>
      <c r="I26" s="17">
        <f t="shared" si="1"/>
        <v>16</v>
      </c>
      <c r="J26" s="18"/>
      <c r="K26" s="17"/>
      <c r="L26" s="17">
        <f t="shared" si="2"/>
        <v>16</v>
      </c>
      <c r="M26" s="15">
        <f t="shared" si="3"/>
        <v>0</v>
      </c>
      <c r="N26" s="15">
        <f t="shared" si="4"/>
        <v>3840</v>
      </c>
      <c r="O26" s="19">
        <f t="shared" si="5"/>
        <v>0</v>
      </c>
    </row>
    <row r="27" spans="1:15" s="4" customFormat="1" ht="13" customHeight="1" x14ac:dyDescent="0.3">
      <c r="A27" s="28">
        <v>20</v>
      </c>
      <c r="B27" s="23" t="s">
        <v>42</v>
      </c>
      <c r="C27" s="12"/>
      <c r="D27" s="13" t="s">
        <v>43</v>
      </c>
      <c r="E27" s="14">
        <v>9</v>
      </c>
      <c r="F27" s="15">
        <v>310</v>
      </c>
      <c r="G27" s="15">
        <f t="shared" si="0"/>
        <v>2790</v>
      </c>
      <c r="H27" s="16" t="s">
        <v>29</v>
      </c>
      <c r="I27" s="17">
        <f t="shared" si="1"/>
        <v>9</v>
      </c>
      <c r="J27" s="18"/>
      <c r="K27" s="17"/>
      <c r="L27" s="17">
        <f t="shared" si="2"/>
        <v>9</v>
      </c>
      <c r="M27" s="15">
        <f t="shared" si="3"/>
        <v>0</v>
      </c>
      <c r="N27" s="15">
        <f t="shared" si="4"/>
        <v>2790</v>
      </c>
      <c r="O27" s="19">
        <f t="shared" si="5"/>
        <v>0</v>
      </c>
    </row>
    <row r="28" spans="1:15" s="4" customFormat="1" ht="13" customHeight="1" x14ac:dyDescent="0.3">
      <c r="A28" s="28">
        <v>21</v>
      </c>
      <c r="B28" s="23" t="s">
        <v>86</v>
      </c>
      <c r="C28" s="12"/>
      <c r="D28" s="13" t="s">
        <v>99</v>
      </c>
      <c r="E28" s="14">
        <v>13</v>
      </c>
      <c r="F28" s="15">
        <v>240</v>
      </c>
      <c r="G28" s="15">
        <f t="shared" si="0"/>
        <v>3120</v>
      </c>
      <c r="H28" s="12" t="s">
        <v>37</v>
      </c>
      <c r="I28" s="17">
        <f t="shared" si="1"/>
        <v>13</v>
      </c>
      <c r="J28" s="18"/>
      <c r="K28" s="17"/>
      <c r="L28" s="17">
        <f t="shared" si="2"/>
        <v>13</v>
      </c>
      <c r="M28" s="15">
        <f t="shared" si="3"/>
        <v>0</v>
      </c>
      <c r="N28" s="15">
        <f t="shared" si="4"/>
        <v>3120</v>
      </c>
      <c r="O28" s="19">
        <f t="shared" si="5"/>
        <v>0</v>
      </c>
    </row>
    <row r="29" spans="1:15" s="4" customFormat="1" ht="13" customHeight="1" x14ac:dyDescent="0.3">
      <c r="A29" s="30">
        <v>22</v>
      </c>
      <c r="B29" s="26" t="s">
        <v>79</v>
      </c>
      <c r="C29" s="12"/>
      <c r="D29" s="13" t="s">
        <v>43</v>
      </c>
      <c r="E29" s="14">
        <v>3</v>
      </c>
      <c r="F29" s="15">
        <v>310</v>
      </c>
      <c r="G29" s="15">
        <f t="shared" si="0"/>
        <v>930</v>
      </c>
      <c r="H29" s="16" t="s">
        <v>80</v>
      </c>
      <c r="I29" s="17">
        <f t="shared" si="1"/>
        <v>3</v>
      </c>
      <c r="J29" s="18"/>
      <c r="K29" s="17"/>
      <c r="L29" s="17">
        <f t="shared" si="2"/>
        <v>3</v>
      </c>
      <c r="M29" s="15">
        <f t="shared" si="3"/>
        <v>0</v>
      </c>
      <c r="N29" s="15">
        <f t="shared" si="4"/>
        <v>930</v>
      </c>
      <c r="O29" s="19">
        <f t="shared" si="5"/>
        <v>0</v>
      </c>
    </row>
    <row r="30" spans="1:15" s="4" customFormat="1" ht="13" customHeight="1" x14ac:dyDescent="0.3">
      <c r="A30" s="30">
        <v>22</v>
      </c>
      <c r="B30" s="26" t="s">
        <v>79</v>
      </c>
      <c r="C30" s="12"/>
      <c r="D30" s="13" t="s">
        <v>43</v>
      </c>
      <c r="E30" s="14">
        <v>3</v>
      </c>
      <c r="F30" s="15">
        <v>310</v>
      </c>
      <c r="G30" s="15">
        <f t="shared" si="0"/>
        <v>930</v>
      </c>
      <c r="H30" s="16" t="s">
        <v>29</v>
      </c>
      <c r="I30" s="17">
        <f t="shared" si="1"/>
        <v>3</v>
      </c>
      <c r="J30" s="18"/>
      <c r="K30" s="17"/>
      <c r="L30" s="17">
        <f t="shared" si="2"/>
        <v>3</v>
      </c>
      <c r="M30" s="15">
        <f t="shared" si="3"/>
        <v>0</v>
      </c>
      <c r="N30" s="15">
        <f t="shared" si="4"/>
        <v>930</v>
      </c>
      <c r="O30" s="19"/>
    </row>
    <row r="31" spans="1:15" s="4" customFormat="1" ht="13" customHeight="1" x14ac:dyDescent="0.3">
      <c r="A31" s="31">
        <v>23</v>
      </c>
      <c r="B31" s="23" t="s">
        <v>81</v>
      </c>
      <c r="C31" s="26" t="s">
        <v>50</v>
      </c>
      <c r="D31" s="13" t="s">
        <v>51</v>
      </c>
      <c r="E31" s="14">
        <v>16</v>
      </c>
      <c r="F31" s="15">
        <v>360</v>
      </c>
      <c r="G31" s="15">
        <f t="shared" si="0"/>
        <v>5760</v>
      </c>
      <c r="H31" s="23" t="s">
        <v>81</v>
      </c>
      <c r="I31" s="17">
        <f t="shared" si="1"/>
        <v>16</v>
      </c>
      <c r="J31" s="18"/>
      <c r="K31" s="17"/>
      <c r="L31" s="17">
        <f t="shared" si="2"/>
        <v>16</v>
      </c>
      <c r="M31" s="15">
        <f t="shared" si="3"/>
        <v>0</v>
      </c>
      <c r="N31" s="15">
        <f t="shared" si="4"/>
        <v>5760</v>
      </c>
      <c r="O31" s="19">
        <f t="shared" si="5"/>
        <v>0</v>
      </c>
    </row>
    <row r="33" spans="1:16" ht="20.149999999999999" customHeight="1" x14ac:dyDescent="0.35">
      <c r="E33" s="32">
        <f>SUM(E5:E31)</f>
        <v>256</v>
      </c>
      <c r="G33" s="33">
        <f>SUM(G5:G31)</f>
        <v>78624</v>
      </c>
      <c r="N33" s="33">
        <f>SUM(N5:N31)</f>
        <v>78624</v>
      </c>
      <c r="O33" s="33">
        <f>SUM(O13:O32)</f>
        <v>0</v>
      </c>
      <c r="P33" s="34">
        <f>+O33+N33</f>
        <v>78624</v>
      </c>
    </row>
    <row r="34" spans="1:16" s="4" customFormat="1" ht="15" thickBot="1" x14ac:dyDescent="0.4">
      <c r="A34" s="6"/>
    </row>
    <row r="35" spans="1:16" s="4" customFormat="1" ht="15" thickBot="1" x14ac:dyDescent="0.4">
      <c r="A35" s="6"/>
      <c r="B35" s="79" t="s">
        <v>52</v>
      </c>
      <c r="C35" s="80"/>
      <c r="D35" s="81" t="s">
        <v>53</v>
      </c>
      <c r="E35" s="82"/>
      <c r="F35" s="82"/>
      <c r="G35" s="82"/>
      <c r="H35" s="83"/>
      <c r="I35" s="81">
        <v>0</v>
      </c>
      <c r="J35" s="82"/>
      <c r="K35" s="82"/>
      <c r="L35" s="82"/>
      <c r="M35" s="82"/>
      <c r="N35" s="83"/>
    </row>
    <row r="36" spans="1:16" s="4" customFormat="1" ht="19.5" customHeight="1" x14ac:dyDescent="0.35">
      <c r="A36" s="6"/>
      <c r="B36" s="38" t="s">
        <v>54</v>
      </c>
      <c r="C36" s="39">
        <v>25</v>
      </c>
      <c r="D36" s="40" t="s">
        <v>55</v>
      </c>
      <c r="E36" s="41" t="s">
        <v>56</v>
      </c>
      <c r="F36" s="41" t="s">
        <v>57</v>
      </c>
      <c r="G36" s="41" t="s">
        <v>58</v>
      </c>
      <c r="H36" s="42" t="s">
        <v>59</v>
      </c>
      <c r="I36" s="40" t="s">
        <v>56</v>
      </c>
      <c r="J36" s="41" t="s">
        <v>60</v>
      </c>
      <c r="K36" s="41" t="s">
        <v>55</v>
      </c>
      <c r="L36" s="41"/>
      <c r="M36" s="41"/>
      <c r="N36" s="42" t="s">
        <v>59</v>
      </c>
    </row>
    <row r="37" spans="1:16" s="4" customFormat="1" ht="15" thickBot="1" x14ac:dyDescent="0.35">
      <c r="A37" s="6"/>
      <c r="B37" s="43" t="s">
        <v>61</v>
      </c>
      <c r="C37" s="44">
        <v>9</v>
      </c>
      <c r="D37" s="13" t="s">
        <v>94</v>
      </c>
      <c r="E37" s="45" t="s">
        <v>100</v>
      </c>
      <c r="F37" s="34">
        <f>SUM(E5:E6)</f>
        <v>24</v>
      </c>
      <c r="G37" s="34">
        <v>310</v>
      </c>
      <c r="H37" s="19">
        <f>F37*G37</f>
        <v>7440</v>
      </c>
      <c r="I37" s="46">
        <v>1</v>
      </c>
      <c r="J37" s="16" t="s">
        <v>63</v>
      </c>
      <c r="K37" s="47" t="s">
        <v>64</v>
      </c>
      <c r="L37" s="14">
        <v>9</v>
      </c>
      <c r="M37" s="48">
        <v>550</v>
      </c>
      <c r="N37" s="49">
        <f>M37*L37</f>
        <v>4950</v>
      </c>
    </row>
    <row r="38" spans="1:16" s="4" customFormat="1" ht="15" thickBot="1" x14ac:dyDescent="0.35">
      <c r="A38" s="50"/>
      <c r="B38" s="87"/>
      <c r="C38" s="51"/>
      <c r="D38" s="13" t="s">
        <v>87</v>
      </c>
      <c r="E38" s="45" t="s">
        <v>101</v>
      </c>
      <c r="F38" s="34">
        <f>SUM(E7:E9)</f>
        <v>24</v>
      </c>
      <c r="G38" s="34">
        <v>310</v>
      </c>
      <c r="H38" s="19">
        <f t="shared" ref="H38:H48" si="6">F38*G38</f>
        <v>7440</v>
      </c>
      <c r="I38" s="46">
        <v>2</v>
      </c>
      <c r="J38" s="16" t="s">
        <v>66</v>
      </c>
      <c r="K38" s="47" t="s">
        <v>64</v>
      </c>
      <c r="L38" s="14">
        <v>9</v>
      </c>
      <c r="M38" s="48">
        <v>550</v>
      </c>
      <c r="N38" s="49">
        <f t="shared" ref="N38:N39" si="7">M38*L38</f>
        <v>4950</v>
      </c>
    </row>
    <row r="39" spans="1:16" s="4" customFormat="1" ht="12.5" customHeight="1" x14ac:dyDescent="0.3">
      <c r="A39" s="6"/>
      <c r="B39" s="84"/>
      <c r="C39" s="51"/>
      <c r="D39" s="13" t="s">
        <v>89</v>
      </c>
      <c r="E39" s="45" t="s">
        <v>102</v>
      </c>
      <c r="F39" s="34">
        <f>SUM(E10:E11)</f>
        <v>22</v>
      </c>
      <c r="G39" s="34">
        <v>310</v>
      </c>
      <c r="H39" s="52">
        <f>F39*G39</f>
        <v>6820</v>
      </c>
      <c r="I39" s="46">
        <v>3</v>
      </c>
      <c r="J39" s="12" t="s">
        <v>68</v>
      </c>
      <c r="K39" s="47" t="s">
        <v>64</v>
      </c>
      <c r="L39" s="14">
        <v>9</v>
      </c>
      <c r="M39" s="48">
        <v>550</v>
      </c>
      <c r="N39" s="49">
        <f t="shared" si="7"/>
        <v>4950</v>
      </c>
    </row>
    <row r="40" spans="1:16" s="4" customFormat="1" ht="15" thickBot="1" x14ac:dyDescent="0.35">
      <c r="A40" s="6"/>
      <c r="B40" s="84"/>
      <c r="C40" s="51"/>
      <c r="D40" s="13" t="s">
        <v>95</v>
      </c>
      <c r="E40" s="45" t="s">
        <v>103</v>
      </c>
      <c r="F40" s="34">
        <f>SUM(E12:E13)</f>
        <v>25</v>
      </c>
      <c r="G40" s="34">
        <v>310</v>
      </c>
      <c r="H40" s="52">
        <f t="shared" si="6"/>
        <v>7750</v>
      </c>
      <c r="I40" s="46"/>
      <c r="J40" s="16"/>
      <c r="K40" s="47"/>
      <c r="L40" s="14"/>
      <c r="M40" s="48">
        <v>550</v>
      </c>
      <c r="N40" s="53">
        <f>M40*L40</f>
        <v>0</v>
      </c>
    </row>
    <row r="41" spans="1:16" s="4" customFormat="1" ht="12" customHeight="1" x14ac:dyDescent="0.3">
      <c r="A41" s="6"/>
      <c r="B41" s="84"/>
      <c r="D41" s="13" t="s">
        <v>34</v>
      </c>
      <c r="E41" s="45" t="s">
        <v>67</v>
      </c>
      <c r="F41" s="34">
        <f>SUM(E14:E16)</f>
        <v>11</v>
      </c>
      <c r="G41" s="34">
        <v>324</v>
      </c>
      <c r="H41" s="52">
        <f t="shared" si="6"/>
        <v>3564</v>
      </c>
      <c r="I41" s="54"/>
      <c r="J41" s="55"/>
      <c r="K41" s="56"/>
      <c r="L41" s="6"/>
      <c r="M41" s="54"/>
      <c r="N41" s="57">
        <f>N37+N39+N38</f>
        <v>14850</v>
      </c>
    </row>
    <row r="42" spans="1:16" s="4" customFormat="1" ht="12" customHeight="1" x14ac:dyDescent="0.3">
      <c r="A42" s="6"/>
      <c r="B42" s="84"/>
      <c r="D42" s="13" t="s">
        <v>96</v>
      </c>
      <c r="E42" s="45" t="s">
        <v>104</v>
      </c>
      <c r="F42" s="34">
        <f>SUM(E17:E19)</f>
        <v>42</v>
      </c>
      <c r="G42" s="34">
        <v>290</v>
      </c>
      <c r="H42" s="52">
        <f t="shared" si="6"/>
        <v>12180</v>
      </c>
      <c r="I42" s="54"/>
      <c r="J42" s="55"/>
      <c r="K42" s="56"/>
      <c r="L42" s="6"/>
      <c r="M42" s="54"/>
      <c r="N42" s="54"/>
    </row>
    <row r="43" spans="1:16" s="4" customFormat="1" ht="14" customHeight="1" thickBot="1" x14ac:dyDescent="0.35">
      <c r="A43" s="6"/>
      <c r="B43" s="84"/>
      <c r="D43" s="13" t="s">
        <v>43</v>
      </c>
      <c r="E43" s="45" t="s">
        <v>69</v>
      </c>
      <c r="F43" s="34">
        <f>SUM(E20,E27,E29:E30)</f>
        <v>27</v>
      </c>
      <c r="G43" s="34">
        <v>310</v>
      </c>
      <c r="H43" s="52">
        <f t="shared" si="6"/>
        <v>8370</v>
      </c>
      <c r="N43" s="58"/>
    </row>
    <row r="44" spans="1:16" s="4" customFormat="1" x14ac:dyDescent="0.3">
      <c r="A44" s="6"/>
      <c r="B44" s="84"/>
      <c r="D44" s="13" t="s">
        <v>97</v>
      </c>
      <c r="E44" s="45" t="s">
        <v>105</v>
      </c>
      <c r="F44" s="34">
        <f>SUM(E21:E23)</f>
        <v>19</v>
      </c>
      <c r="G44" s="34">
        <v>390</v>
      </c>
      <c r="H44" s="52">
        <f t="shared" si="6"/>
        <v>7410</v>
      </c>
      <c r="I44" s="35" t="s">
        <v>70</v>
      </c>
      <c r="J44" s="36"/>
      <c r="K44" s="36"/>
      <c r="L44" s="36"/>
      <c r="M44" s="36"/>
      <c r="N44" s="37"/>
    </row>
    <row r="45" spans="1:16" s="4" customFormat="1" ht="14" customHeight="1" x14ac:dyDescent="0.3">
      <c r="B45" s="84"/>
      <c r="C45" s="59"/>
      <c r="D45" s="13" t="s">
        <v>98</v>
      </c>
      <c r="E45" s="45" t="s">
        <v>106</v>
      </c>
      <c r="F45" s="34">
        <f>SUM(E24:E25)</f>
        <v>17</v>
      </c>
      <c r="G45" s="34">
        <v>290</v>
      </c>
      <c r="H45" s="52">
        <f t="shared" si="6"/>
        <v>4930</v>
      </c>
      <c r="I45" s="60" t="s">
        <v>56</v>
      </c>
      <c r="J45" s="61" t="s">
        <v>72</v>
      </c>
      <c r="K45" s="61" t="s">
        <v>55</v>
      </c>
      <c r="L45" s="61" t="s">
        <v>3</v>
      </c>
      <c r="M45" s="61" t="s">
        <v>58</v>
      </c>
      <c r="N45" s="62" t="s">
        <v>59</v>
      </c>
    </row>
    <row r="46" spans="1:16" s="4" customFormat="1" x14ac:dyDescent="0.3">
      <c r="B46" s="84"/>
      <c r="D46" s="13" t="s">
        <v>99</v>
      </c>
      <c r="E46" s="45" t="s">
        <v>107</v>
      </c>
      <c r="F46" s="34">
        <f>SUM(E26,E28)</f>
        <v>29</v>
      </c>
      <c r="G46" s="34">
        <v>240</v>
      </c>
      <c r="H46" s="52">
        <f t="shared" si="6"/>
        <v>6960</v>
      </c>
      <c r="I46" s="63">
        <v>1</v>
      </c>
      <c r="J46" s="64" t="s">
        <v>73</v>
      </c>
      <c r="K46" s="48" t="s">
        <v>74</v>
      </c>
      <c r="L46" s="34">
        <v>30</v>
      </c>
      <c r="M46" s="48">
        <v>1000</v>
      </c>
      <c r="N46" s="49">
        <f t="shared" ref="N46:N47" si="8">L46*M46</f>
        <v>30000</v>
      </c>
    </row>
    <row r="47" spans="1:16" s="4" customFormat="1" x14ac:dyDescent="0.3">
      <c r="B47" s="84"/>
      <c r="D47" s="13"/>
      <c r="E47" s="45"/>
      <c r="F47" s="34"/>
      <c r="G47" s="34"/>
      <c r="H47" s="52">
        <f t="shared" si="6"/>
        <v>0</v>
      </c>
      <c r="I47" s="46">
        <v>2</v>
      </c>
      <c r="J47" s="64" t="s">
        <v>75</v>
      </c>
      <c r="K47" s="48" t="s">
        <v>74</v>
      </c>
      <c r="L47" s="34">
        <v>33</v>
      </c>
      <c r="M47" s="48">
        <v>1000</v>
      </c>
      <c r="N47" s="49">
        <f t="shared" si="8"/>
        <v>33000</v>
      </c>
    </row>
    <row r="48" spans="1:16" s="4" customFormat="1" ht="15" thickBot="1" x14ac:dyDescent="0.35">
      <c r="B48" s="84"/>
      <c r="D48" s="13" t="s">
        <v>51</v>
      </c>
      <c r="E48" s="45" t="s">
        <v>71</v>
      </c>
      <c r="F48" s="34">
        <f>SUM(E31)</f>
        <v>16</v>
      </c>
      <c r="G48" s="34">
        <v>360</v>
      </c>
      <c r="H48" s="52">
        <f t="shared" si="6"/>
        <v>5760</v>
      </c>
      <c r="I48" s="46">
        <v>3</v>
      </c>
      <c r="J48" s="65" t="s">
        <v>76</v>
      </c>
      <c r="K48" s="48" t="s">
        <v>74</v>
      </c>
      <c r="L48" s="34"/>
      <c r="M48" s="48">
        <v>1000</v>
      </c>
      <c r="N48" s="49">
        <f>L48*M48</f>
        <v>0</v>
      </c>
    </row>
    <row r="49" spans="1:14" s="4" customFormat="1" x14ac:dyDescent="0.35">
      <c r="E49" s="85" t="s">
        <v>59</v>
      </c>
      <c r="F49" s="86"/>
      <c r="G49" s="66">
        <f>SUM(F37:F48)</f>
        <v>256</v>
      </c>
      <c r="H49" s="33">
        <f>SUM(H37:H48)</f>
        <v>78624</v>
      </c>
      <c r="L49" s="4">
        <f>SUM(L46:L48)</f>
        <v>63</v>
      </c>
      <c r="M49" s="57"/>
      <c r="N49" s="67">
        <f>SUM(N46:N48)</f>
        <v>63000</v>
      </c>
    </row>
    <row r="50" spans="1:14" s="4" customFormat="1" x14ac:dyDescent="0.35"/>
    <row r="51" spans="1:14" s="4" customFormat="1" ht="8" customHeight="1" x14ac:dyDescent="0.35"/>
    <row r="52" spans="1:14" s="4" customFormat="1" ht="8.5" customHeight="1" x14ac:dyDescent="0.35"/>
    <row r="53" spans="1:14" s="4" customFormat="1" ht="8" customHeight="1" x14ac:dyDescent="0.25">
      <c r="G53" s="68"/>
    </row>
    <row r="54" spans="1:14" s="4" customFormat="1" ht="15" thickBot="1" x14ac:dyDescent="0.4">
      <c r="C54" s="77"/>
      <c r="D54" s="77"/>
      <c r="I54" s="77"/>
      <c r="J54" s="77"/>
    </row>
    <row r="55" spans="1:14" s="4" customFormat="1" x14ac:dyDescent="0.35">
      <c r="C55" s="78" t="s">
        <v>77</v>
      </c>
      <c r="D55" s="78"/>
      <c r="I55" s="78" t="s">
        <v>78</v>
      </c>
      <c r="J55" s="78"/>
    </row>
    <row r="56" spans="1:14" s="4" customFormat="1" x14ac:dyDescent="0.35"/>
    <row r="61" spans="1:14" s="4" customFormat="1" x14ac:dyDescent="0.35">
      <c r="A61" s="6"/>
      <c r="G61" s="69"/>
    </row>
    <row r="62" spans="1:14" s="4" customFormat="1" x14ac:dyDescent="0.35">
      <c r="A62" s="6"/>
      <c r="E62" s="6"/>
      <c r="G62" s="69"/>
    </row>
    <row r="63" spans="1:14" s="4" customFormat="1" x14ac:dyDescent="0.35">
      <c r="A63" s="6"/>
      <c r="G63" s="69"/>
    </row>
    <row r="64" spans="1:14" s="4" customFormat="1" x14ac:dyDescent="0.35">
      <c r="A64" s="6"/>
      <c r="G64" s="69"/>
    </row>
    <row r="65" spans="1:7" s="4" customFormat="1" x14ac:dyDescent="0.35">
      <c r="A65" s="6"/>
      <c r="G65" s="69"/>
    </row>
    <row r="66" spans="1:7" s="4" customFormat="1" x14ac:dyDescent="0.35">
      <c r="A66" s="6"/>
      <c r="G66" s="69"/>
    </row>
  </sheetData>
  <mergeCells count="10">
    <mergeCell ref="C54:D54"/>
    <mergeCell ref="I54:J54"/>
    <mergeCell ref="C55:D55"/>
    <mergeCell ref="I55:J55"/>
    <mergeCell ref="D1:F1"/>
    <mergeCell ref="B35:C35"/>
    <mergeCell ref="D35:H35"/>
    <mergeCell ref="I35:N35"/>
    <mergeCell ref="B38:B48"/>
    <mergeCell ref="E49:F49"/>
  </mergeCells>
  <conditionalFormatting sqref="P33">
    <cfRule type="cellIs" dxfId="15" priority="1" operator="lessThan">
      <formula>$G$33</formula>
    </cfRule>
    <cfRule type="cellIs" dxfId="14" priority="2" operator="greaterThan">
      <formula>$G$33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A2F88-FBB2-494A-BE96-B6FE8292B4C8}">
  <dimension ref="A1:P71"/>
  <sheetViews>
    <sheetView topLeftCell="A7" zoomScale="106" zoomScaleNormal="106" workbookViewId="0">
      <selection activeCell="B12" sqref="B12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46149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94</v>
      </c>
      <c r="E5" s="14">
        <v>12</v>
      </c>
      <c r="F5" s="15">
        <v>310</v>
      </c>
      <c r="G5" s="15">
        <f t="shared" ref="G5:G35" si="0">+E5*F5</f>
        <v>3720</v>
      </c>
      <c r="H5" s="16" t="s">
        <v>22</v>
      </c>
      <c r="I5" s="17">
        <f t="shared" ref="I5:I36" si="1">E5</f>
        <v>12</v>
      </c>
      <c r="J5" s="18"/>
      <c r="K5" s="17"/>
      <c r="L5" s="17">
        <f t="shared" ref="L5:L36" si="2">E5</f>
        <v>12</v>
      </c>
      <c r="M5" s="15">
        <f t="shared" ref="M5:M36" si="3">E5-L5</f>
        <v>0</v>
      </c>
      <c r="N5" s="15">
        <f t="shared" ref="N5:N36" si="4">E5*F5</f>
        <v>3720</v>
      </c>
      <c r="O5" s="19">
        <f t="shared" ref="O5:O36" si="5">+K5*F5</f>
        <v>0</v>
      </c>
    </row>
    <row r="6" spans="1:15" s="20" customFormat="1" ht="14.5" customHeight="1" x14ac:dyDescent="0.3">
      <c r="A6" s="11">
        <v>2</v>
      </c>
      <c r="B6" s="23" t="s">
        <v>45</v>
      </c>
      <c r="C6" s="12"/>
      <c r="D6" s="13" t="s">
        <v>94</v>
      </c>
      <c r="E6" s="14">
        <v>13</v>
      </c>
      <c r="F6" s="15">
        <v>310</v>
      </c>
      <c r="G6" s="15">
        <f t="shared" si="0"/>
        <v>4030</v>
      </c>
      <c r="H6" s="16" t="s">
        <v>22</v>
      </c>
      <c r="I6" s="17">
        <f t="shared" si="1"/>
        <v>13</v>
      </c>
      <c r="J6" s="18"/>
      <c r="K6" s="17"/>
      <c r="L6" s="17">
        <f t="shared" si="2"/>
        <v>13</v>
      </c>
      <c r="M6" s="15">
        <f t="shared" si="3"/>
        <v>0</v>
      </c>
      <c r="N6" s="15">
        <f t="shared" si="4"/>
        <v>4030</v>
      </c>
      <c r="O6" s="19">
        <f t="shared" si="5"/>
        <v>0</v>
      </c>
    </row>
    <row r="7" spans="1:15" s="20" customFormat="1" ht="14.5" customHeight="1" x14ac:dyDescent="0.3">
      <c r="A7" s="11">
        <v>3</v>
      </c>
      <c r="B7" s="21" t="s">
        <v>24</v>
      </c>
      <c r="C7" s="12"/>
      <c r="D7" s="13" t="s">
        <v>87</v>
      </c>
      <c r="E7" s="14">
        <v>14</v>
      </c>
      <c r="F7" s="15">
        <v>310</v>
      </c>
      <c r="G7" s="15">
        <f t="shared" si="0"/>
        <v>4340</v>
      </c>
      <c r="H7" s="18" t="s">
        <v>38</v>
      </c>
      <c r="I7" s="17">
        <f t="shared" si="1"/>
        <v>14</v>
      </c>
      <c r="J7" s="18"/>
      <c r="K7" s="17"/>
      <c r="L7" s="17">
        <f t="shared" si="2"/>
        <v>14</v>
      </c>
      <c r="M7" s="15">
        <f t="shared" si="3"/>
        <v>0</v>
      </c>
      <c r="N7" s="15">
        <f t="shared" si="4"/>
        <v>4340</v>
      </c>
      <c r="O7" s="19">
        <f t="shared" si="5"/>
        <v>0</v>
      </c>
    </row>
    <row r="8" spans="1:15" s="20" customFormat="1" ht="14.5" customHeight="1" x14ac:dyDescent="0.3">
      <c r="A8" s="11">
        <v>3</v>
      </c>
      <c r="B8" s="22" t="s">
        <v>26</v>
      </c>
      <c r="C8" s="12"/>
      <c r="D8" s="13" t="s">
        <v>87</v>
      </c>
      <c r="E8" s="14">
        <v>1</v>
      </c>
      <c r="F8" s="15">
        <v>310</v>
      </c>
      <c r="G8" s="15">
        <f t="shared" si="0"/>
        <v>310</v>
      </c>
      <c r="H8" s="23" t="s">
        <v>36</v>
      </c>
      <c r="I8" s="17">
        <f t="shared" si="1"/>
        <v>1</v>
      </c>
      <c r="J8" s="18"/>
      <c r="K8" s="17"/>
      <c r="L8" s="17">
        <f t="shared" ref="L8:L35" si="6">E8</f>
        <v>1</v>
      </c>
      <c r="M8" s="15">
        <f t="shared" ref="M8:M35" si="7">E8-L8</f>
        <v>0</v>
      </c>
      <c r="N8" s="15">
        <f t="shared" ref="N8:N35" si="8">E8*F8</f>
        <v>310</v>
      </c>
      <c r="O8" s="19">
        <f t="shared" ref="O8:O35" si="9">+K8*F8</f>
        <v>0</v>
      </c>
    </row>
    <row r="9" spans="1:15" s="20" customFormat="1" ht="14.5" customHeight="1" x14ac:dyDescent="0.3">
      <c r="A9" s="11">
        <v>4</v>
      </c>
      <c r="B9" s="23" t="s">
        <v>32</v>
      </c>
      <c r="C9" s="12"/>
      <c r="D9" s="13" t="s">
        <v>87</v>
      </c>
      <c r="E9" s="14">
        <v>10</v>
      </c>
      <c r="F9" s="15">
        <v>310</v>
      </c>
      <c r="G9" s="15">
        <f t="shared" si="0"/>
        <v>3100</v>
      </c>
      <c r="H9" s="18" t="s">
        <v>38</v>
      </c>
      <c r="I9" s="17">
        <f t="shared" si="1"/>
        <v>10</v>
      </c>
      <c r="J9" s="18"/>
      <c r="K9" s="17"/>
      <c r="L9" s="17">
        <f t="shared" si="6"/>
        <v>10</v>
      </c>
      <c r="M9" s="15">
        <f t="shared" si="7"/>
        <v>0</v>
      </c>
      <c r="N9" s="15">
        <f t="shared" si="8"/>
        <v>3100</v>
      </c>
      <c r="O9" s="19">
        <f t="shared" si="9"/>
        <v>0</v>
      </c>
    </row>
    <row r="10" spans="1:15" s="20" customFormat="1" ht="14.5" customHeight="1" x14ac:dyDescent="0.3">
      <c r="A10" s="11">
        <v>5</v>
      </c>
      <c r="B10" s="16" t="s">
        <v>23</v>
      </c>
      <c r="C10" s="12"/>
      <c r="D10" s="13" t="s">
        <v>89</v>
      </c>
      <c r="E10" s="14">
        <v>12</v>
      </c>
      <c r="F10" s="15">
        <v>310</v>
      </c>
      <c r="G10" s="15">
        <f t="shared" si="0"/>
        <v>3720</v>
      </c>
      <c r="H10" s="26" t="s">
        <v>50</v>
      </c>
      <c r="I10" s="17">
        <f t="shared" si="1"/>
        <v>12</v>
      </c>
      <c r="J10" s="18"/>
      <c r="K10" s="17"/>
      <c r="L10" s="17">
        <f t="shared" si="6"/>
        <v>12</v>
      </c>
      <c r="M10" s="15">
        <f t="shared" si="7"/>
        <v>0</v>
      </c>
      <c r="N10" s="15">
        <f t="shared" si="8"/>
        <v>3720</v>
      </c>
      <c r="O10" s="19">
        <f t="shared" si="9"/>
        <v>0</v>
      </c>
    </row>
    <row r="11" spans="1:15" s="20" customFormat="1" ht="14.5" customHeight="1" x14ac:dyDescent="0.3">
      <c r="A11" s="11">
        <v>6</v>
      </c>
      <c r="B11" s="70" t="s">
        <v>82</v>
      </c>
      <c r="C11" s="26" t="s">
        <v>83</v>
      </c>
      <c r="D11" s="13" t="s">
        <v>89</v>
      </c>
      <c r="E11" s="14">
        <v>12</v>
      </c>
      <c r="F11" s="15">
        <v>310</v>
      </c>
      <c r="G11" s="15">
        <f t="shared" si="0"/>
        <v>3720</v>
      </c>
      <c r="H11" s="26" t="s">
        <v>50</v>
      </c>
      <c r="I11" s="17">
        <f t="shared" si="1"/>
        <v>12</v>
      </c>
      <c r="J11" s="18"/>
      <c r="K11" s="17"/>
      <c r="L11" s="17">
        <f t="shared" si="6"/>
        <v>12</v>
      </c>
      <c r="M11" s="15">
        <f t="shared" si="7"/>
        <v>0</v>
      </c>
      <c r="N11" s="15">
        <f t="shared" si="8"/>
        <v>3720</v>
      </c>
      <c r="O11" s="19">
        <f t="shared" si="9"/>
        <v>0</v>
      </c>
    </row>
    <row r="12" spans="1:15" s="20" customFormat="1" ht="14.5" customHeight="1" x14ac:dyDescent="0.3">
      <c r="A12" s="11">
        <v>7</v>
      </c>
      <c r="B12" s="23" t="s">
        <v>40</v>
      </c>
      <c r="C12" s="12"/>
      <c r="D12" s="13" t="s">
        <v>95</v>
      </c>
      <c r="E12" s="14">
        <v>13</v>
      </c>
      <c r="F12" s="15">
        <v>310</v>
      </c>
      <c r="G12" s="15">
        <f t="shared" si="0"/>
        <v>4030</v>
      </c>
      <c r="H12" s="16" t="s">
        <v>27</v>
      </c>
      <c r="I12" s="17">
        <f t="shared" si="1"/>
        <v>13</v>
      </c>
      <c r="J12" s="18"/>
      <c r="K12" s="17"/>
      <c r="L12" s="17">
        <f t="shared" si="6"/>
        <v>13</v>
      </c>
      <c r="M12" s="15">
        <f t="shared" si="7"/>
        <v>0</v>
      </c>
      <c r="N12" s="15">
        <f t="shared" si="8"/>
        <v>4030</v>
      </c>
      <c r="O12" s="19">
        <f t="shared" si="9"/>
        <v>0</v>
      </c>
    </row>
    <row r="13" spans="1:15" s="24" customFormat="1" ht="14.5" customHeight="1" x14ac:dyDescent="0.3">
      <c r="A13" s="11">
        <v>8</v>
      </c>
      <c r="B13" s="12" t="s">
        <v>28</v>
      </c>
      <c r="C13" s="12"/>
      <c r="D13" s="13" t="s">
        <v>95</v>
      </c>
      <c r="E13" s="14">
        <v>12</v>
      </c>
      <c r="F13" s="15">
        <v>310</v>
      </c>
      <c r="G13" s="15">
        <f t="shared" si="0"/>
        <v>3720</v>
      </c>
      <c r="H13" s="16" t="s">
        <v>27</v>
      </c>
      <c r="I13" s="17">
        <f t="shared" si="1"/>
        <v>12</v>
      </c>
      <c r="J13" s="18"/>
      <c r="K13" s="17"/>
      <c r="L13" s="17">
        <f t="shared" si="6"/>
        <v>12</v>
      </c>
      <c r="M13" s="15">
        <f t="shared" si="7"/>
        <v>0</v>
      </c>
      <c r="N13" s="15">
        <f t="shared" si="8"/>
        <v>3720</v>
      </c>
      <c r="O13" s="19">
        <f t="shared" si="9"/>
        <v>0</v>
      </c>
    </row>
    <row r="14" spans="1:15" s="24" customFormat="1" ht="14.5" customHeight="1" x14ac:dyDescent="0.3">
      <c r="A14" s="11">
        <v>9</v>
      </c>
      <c r="B14" s="25" t="s">
        <v>33</v>
      </c>
      <c r="C14" s="12"/>
      <c r="D14" s="13" t="s">
        <v>34</v>
      </c>
      <c r="E14" s="14">
        <v>4</v>
      </c>
      <c r="F14" s="15">
        <v>324</v>
      </c>
      <c r="G14" s="15">
        <f t="shared" si="0"/>
        <v>1296</v>
      </c>
      <c r="H14" s="16" t="s">
        <v>22</v>
      </c>
      <c r="I14" s="17">
        <f t="shared" si="1"/>
        <v>4</v>
      </c>
      <c r="J14" s="18"/>
      <c r="K14" s="17"/>
      <c r="L14" s="17">
        <f t="shared" si="6"/>
        <v>4</v>
      </c>
      <c r="M14" s="15">
        <f t="shared" si="7"/>
        <v>0</v>
      </c>
      <c r="N14" s="15">
        <f t="shared" si="8"/>
        <v>1296</v>
      </c>
      <c r="O14" s="19">
        <f t="shared" si="9"/>
        <v>0</v>
      </c>
    </row>
    <row r="15" spans="1:15" s="24" customFormat="1" ht="14.5" customHeight="1" x14ac:dyDescent="0.3">
      <c r="A15" s="11">
        <v>9</v>
      </c>
      <c r="B15" s="25" t="s">
        <v>33</v>
      </c>
      <c r="C15" s="12"/>
      <c r="D15" s="13" t="s">
        <v>34</v>
      </c>
      <c r="E15" s="14">
        <v>4</v>
      </c>
      <c r="F15" s="15">
        <v>324</v>
      </c>
      <c r="G15" s="15">
        <f t="shared" si="0"/>
        <v>1296</v>
      </c>
      <c r="H15" s="18" t="s">
        <v>38</v>
      </c>
      <c r="I15" s="17">
        <f t="shared" si="1"/>
        <v>4</v>
      </c>
      <c r="J15" s="18"/>
      <c r="K15" s="17"/>
      <c r="L15" s="17">
        <f t="shared" si="6"/>
        <v>4</v>
      </c>
      <c r="M15" s="15">
        <f t="shared" si="7"/>
        <v>0</v>
      </c>
      <c r="N15" s="15">
        <f t="shared" si="8"/>
        <v>1296</v>
      </c>
      <c r="O15" s="19">
        <f t="shared" si="9"/>
        <v>0</v>
      </c>
    </row>
    <row r="16" spans="1:15" s="24" customFormat="1" ht="14.5" customHeight="1" x14ac:dyDescent="0.3">
      <c r="A16" s="11">
        <v>10</v>
      </c>
      <c r="B16" s="26" t="s">
        <v>35</v>
      </c>
      <c r="C16" s="12"/>
      <c r="D16" s="13" t="s">
        <v>34</v>
      </c>
      <c r="E16" s="14">
        <v>2</v>
      </c>
      <c r="F16" s="15">
        <v>324</v>
      </c>
      <c r="G16" s="15">
        <f t="shared" si="0"/>
        <v>648</v>
      </c>
      <c r="H16" s="16" t="s">
        <v>27</v>
      </c>
      <c r="I16" s="17">
        <f t="shared" si="1"/>
        <v>2</v>
      </c>
      <c r="J16" s="18"/>
      <c r="K16" s="17"/>
      <c r="L16" s="17">
        <f t="shared" si="6"/>
        <v>2</v>
      </c>
      <c r="M16" s="15">
        <f t="shared" si="7"/>
        <v>0</v>
      </c>
      <c r="N16" s="15">
        <f t="shared" si="8"/>
        <v>648</v>
      </c>
      <c r="O16" s="19">
        <f t="shared" si="9"/>
        <v>0</v>
      </c>
    </row>
    <row r="17" spans="1:15" s="24" customFormat="1" ht="14.5" customHeight="1" x14ac:dyDescent="0.3">
      <c r="A17" s="11">
        <v>10</v>
      </c>
      <c r="B17" s="26" t="s">
        <v>35</v>
      </c>
      <c r="C17" s="12"/>
      <c r="D17" s="13" t="s">
        <v>34</v>
      </c>
      <c r="E17" s="14">
        <v>3</v>
      </c>
      <c r="F17" s="15">
        <v>324</v>
      </c>
      <c r="G17" s="15">
        <f t="shared" si="0"/>
        <v>972</v>
      </c>
      <c r="H17" s="16" t="s">
        <v>80</v>
      </c>
      <c r="I17" s="17">
        <f t="shared" si="1"/>
        <v>3</v>
      </c>
      <c r="J17" s="18"/>
      <c r="K17" s="17"/>
      <c r="L17" s="17">
        <f t="shared" si="6"/>
        <v>3</v>
      </c>
      <c r="M17" s="15">
        <f t="shared" si="7"/>
        <v>0</v>
      </c>
      <c r="N17" s="15">
        <f t="shared" si="8"/>
        <v>972</v>
      </c>
      <c r="O17" s="19">
        <f t="shared" si="9"/>
        <v>0</v>
      </c>
    </row>
    <row r="18" spans="1:15" s="24" customFormat="1" ht="14.5" customHeight="1" x14ac:dyDescent="0.3">
      <c r="A18" s="11">
        <v>11</v>
      </c>
      <c r="B18" s="12" t="s">
        <v>30</v>
      </c>
      <c r="C18" s="12"/>
      <c r="D18" s="13" t="s">
        <v>96</v>
      </c>
      <c r="E18" s="14">
        <v>16</v>
      </c>
      <c r="F18" s="15">
        <v>290</v>
      </c>
      <c r="G18" s="15">
        <f t="shared" si="0"/>
        <v>4640</v>
      </c>
      <c r="H18" s="23" t="s">
        <v>41</v>
      </c>
      <c r="I18" s="17">
        <f t="shared" si="1"/>
        <v>16</v>
      </c>
      <c r="J18" s="18"/>
      <c r="K18" s="17"/>
      <c r="L18" s="17">
        <f t="shared" si="6"/>
        <v>16</v>
      </c>
      <c r="M18" s="15">
        <f t="shared" si="7"/>
        <v>0</v>
      </c>
      <c r="N18" s="15">
        <f t="shared" si="8"/>
        <v>4640</v>
      </c>
      <c r="O18" s="19">
        <f t="shared" si="9"/>
        <v>0</v>
      </c>
    </row>
    <row r="19" spans="1:15" s="24" customFormat="1" ht="14.5" customHeight="1" x14ac:dyDescent="0.3">
      <c r="A19" s="11">
        <v>12</v>
      </c>
      <c r="B19" s="12" t="s">
        <v>44</v>
      </c>
      <c r="C19" s="12"/>
      <c r="D19" s="13" t="s">
        <v>96</v>
      </c>
      <c r="E19" s="14">
        <v>13</v>
      </c>
      <c r="F19" s="15">
        <v>290</v>
      </c>
      <c r="G19" s="15">
        <f t="shared" si="0"/>
        <v>3770</v>
      </c>
      <c r="H19" s="23" t="s">
        <v>41</v>
      </c>
      <c r="I19" s="17">
        <f t="shared" si="1"/>
        <v>13</v>
      </c>
      <c r="J19" s="18"/>
      <c r="K19" s="17"/>
      <c r="L19" s="17">
        <f t="shared" si="6"/>
        <v>13</v>
      </c>
      <c r="M19" s="15">
        <f t="shared" si="7"/>
        <v>0</v>
      </c>
      <c r="N19" s="15">
        <f t="shared" si="8"/>
        <v>3770</v>
      </c>
      <c r="O19" s="19">
        <f t="shared" si="9"/>
        <v>0</v>
      </c>
    </row>
    <row r="20" spans="1:15" s="24" customFormat="1" ht="14.5" customHeight="1" x14ac:dyDescent="0.3">
      <c r="A20" s="11">
        <v>13</v>
      </c>
      <c r="B20" s="23" t="s">
        <v>49</v>
      </c>
      <c r="C20" s="12"/>
      <c r="D20" s="13" t="s">
        <v>96</v>
      </c>
      <c r="E20" s="14">
        <v>14</v>
      </c>
      <c r="F20" s="15">
        <v>290</v>
      </c>
      <c r="G20" s="15">
        <f t="shared" si="0"/>
        <v>4060</v>
      </c>
      <c r="H20" s="16" t="s">
        <v>80</v>
      </c>
      <c r="I20" s="17">
        <f t="shared" si="1"/>
        <v>14</v>
      </c>
      <c r="J20" s="18"/>
      <c r="K20" s="17"/>
      <c r="L20" s="17">
        <f t="shared" si="6"/>
        <v>14</v>
      </c>
      <c r="M20" s="15">
        <f t="shared" si="7"/>
        <v>0</v>
      </c>
      <c r="N20" s="15">
        <f t="shared" si="8"/>
        <v>4060</v>
      </c>
      <c r="O20" s="19">
        <f t="shared" si="9"/>
        <v>0</v>
      </c>
    </row>
    <row r="21" spans="1:15" s="24" customFormat="1" ht="14.5" customHeight="1" x14ac:dyDescent="0.3">
      <c r="A21" s="11">
        <v>14</v>
      </c>
      <c r="B21" s="12" t="s">
        <v>48</v>
      </c>
      <c r="C21" s="12"/>
      <c r="D21" s="13" t="s">
        <v>43</v>
      </c>
      <c r="E21" s="14">
        <v>4.5</v>
      </c>
      <c r="F21" s="15">
        <v>310</v>
      </c>
      <c r="G21" s="15">
        <f t="shared" si="0"/>
        <v>1395</v>
      </c>
      <c r="H21" s="16" t="s">
        <v>80</v>
      </c>
      <c r="I21" s="17">
        <f t="shared" si="1"/>
        <v>4.5</v>
      </c>
      <c r="J21" s="18"/>
      <c r="K21" s="17"/>
      <c r="L21" s="17">
        <f t="shared" si="6"/>
        <v>4.5</v>
      </c>
      <c r="M21" s="15">
        <f t="shared" si="7"/>
        <v>0</v>
      </c>
      <c r="N21" s="15">
        <f t="shared" si="8"/>
        <v>1395</v>
      </c>
      <c r="O21" s="19">
        <f t="shared" si="9"/>
        <v>0</v>
      </c>
    </row>
    <row r="22" spans="1:15" s="24" customFormat="1" ht="14.5" customHeight="1" x14ac:dyDescent="0.3">
      <c r="A22" s="11">
        <v>14</v>
      </c>
      <c r="B22" s="12" t="s">
        <v>48</v>
      </c>
      <c r="C22" s="27"/>
      <c r="D22" s="13" t="s">
        <v>96</v>
      </c>
      <c r="E22" s="14">
        <v>8</v>
      </c>
      <c r="F22" s="15">
        <v>290</v>
      </c>
      <c r="G22" s="15">
        <f t="shared" si="0"/>
        <v>2320</v>
      </c>
      <c r="H22" s="16" t="s">
        <v>80</v>
      </c>
      <c r="I22" s="17">
        <f t="shared" si="1"/>
        <v>8</v>
      </c>
      <c r="J22" s="18"/>
      <c r="K22" s="17"/>
      <c r="L22" s="17">
        <f t="shared" si="6"/>
        <v>8</v>
      </c>
      <c r="M22" s="15">
        <f t="shared" si="7"/>
        <v>0</v>
      </c>
      <c r="N22" s="15">
        <f t="shared" si="8"/>
        <v>2320</v>
      </c>
      <c r="O22" s="19">
        <f t="shared" si="9"/>
        <v>0</v>
      </c>
    </row>
    <row r="23" spans="1:15" s="20" customFormat="1" ht="13" customHeight="1" x14ac:dyDescent="0.3">
      <c r="A23" s="11">
        <v>15</v>
      </c>
      <c r="B23" s="12" t="s">
        <v>39</v>
      </c>
      <c r="C23" s="27"/>
      <c r="D23" s="13" t="s">
        <v>97</v>
      </c>
      <c r="E23" s="14">
        <v>9.5</v>
      </c>
      <c r="F23" s="15">
        <v>390</v>
      </c>
      <c r="G23" s="15">
        <f t="shared" si="0"/>
        <v>3705</v>
      </c>
      <c r="H23" s="23" t="s">
        <v>36</v>
      </c>
      <c r="I23" s="17">
        <f t="shared" si="1"/>
        <v>9.5</v>
      </c>
      <c r="J23" s="18"/>
      <c r="K23" s="17"/>
      <c r="L23" s="17">
        <f t="shared" si="6"/>
        <v>9.5</v>
      </c>
      <c r="M23" s="15">
        <f t="shared" si="7"/>
        <v>0</v>
      </c>
      <c r="N23" s="15">
        <f t="shared" si="8"/>
        <v>3705</v>
      </c>
      <c r="O23" s="19">
        <f t="shared" si="9"/>
        <v>0</v>
      </c>
    </row>
    <row r="24" spans="1:15" s="20" customFormat="1" ht="13" customHeight="1" x14ac:dyDescent="0.3">
      <c r="A24" s="11">
        <v>15</v>
      </c>
      <c r="B24" s="23" t="s">
        <v>49</v>
      </c>
      <c r="C24" s="27"/>
      <c r="D24" s="13" t="s">
        <v>97</v>
      </c>
      <c r="E24" s="14">
        <v>0.5</v>
      </c>
      <c r="F24" s="15">
        <v>390</v>
      </c>
      <c r="G24" s="15">
        <f t="shared" si="0"/>
        <v>195</v>
      </c>
      <c r="H24" s="16" t="s">
        <v>80</v>
      </c>
      <c r="I24" s="17">
        <f t="shared" si="1"/>
        <v>0.5</v>
      </c>
      <c r="J24" s="18"/>
      <c r="K24" s="17"/>
      <c r="L24" s="17">
        <f t="shared" si="6"/>
        <v>0.5</v>
      </c>
      <c r="M24" s="15">
        <f t="shared" si="7"/>
        <v>0</v>
      </c>
      <c r="N24" s="15">
        <f t="shared" si="8"/>
        <v>195</v>
      </c>
      <c r="O24" s="19">
        <f t="shared" si="9"/>
        <v>0</v>
      </c>
    </row>
    <row r="25" spans="1:15" s="20" customFormat="1" ht="13" customHeight="1" x14ac:dyDescent="0.3">
      <c r="A25" s="11">
        <v>16</v>
      </c>
      <c r="B25" s="22" t="s">
        <v>26</v>
      </c>
      <c r="C25" s="12"/>
      <c r="D25" s="13" t="s">
        <v>97</v>
      </c>
      <c r="E25" s="14">
        <v>9</v>
      </c>
      <c r="F25" s="15">
        <v>390</v>
      </c>
      <c r="G25" s="15">
        <f t="shared" si="0"/>
        <v>3510</v>
      </c>
      <c r="H25" s="23" t="s">
        <v>36</v>
      </c>
      <c r="I25" s="17">
        <f t="shared" si="1"/>
        <v>9</v>
      </c>
      <c r="J25" s="18"/>
      <c r="K25" s="17"/>
      <c r="L25" s="17">
        <f t="shared" si="6"/>
        <v>9</v>
      </c>
      <c r="M25" s="15">
        <f t="shared" si="7"/>
        <v>0</v>
      </c>
      <c r="N25" s="15">
        <f t="shared" si="8"/>
        <v>3510</v>
      </c>
      <c r="O25" s="19">
        <f t="shared" si="9"/>
        <v>0</v>
      </c>
    </row>
    <row r="26" spans="1:15" s="4" customFormat="1" ht="13" customHeight="1" x14ac:dyDescent="0.3">
      <c r="A26" s="28">
        <v>17</v>
      </c>
      <c r="B26" s="70" t="s">
        <v>84</v>
      </c>
      <c r="C26" s="26" t="s">
        <v>85</v>
      </c>
      <c r="D26" s="13" t="s">
        <v>98</v>
      </c>
      <c r="E26" s="14">
        <v>8</v>
      </c>
      <c r="F26" s="15">
        <v>290</v>
      </c>
      <c r="G26" s="15">
        <f t="shared" si="0"/>
        <v>2320</v>
      </c>
      <c r="H26" s="12" t="s">
        <v>37</v>
      </c>
      <c r="I26" s="17">
        <f t="shared" si="1"/>
        <v>8</v>
      </c>
      <c r="J26" s="18"/>
      <c r="K26" s="17"/>
      <c r="L26" s="17">
        <f t="shared" si="6"/>
        <v>8</v>
      </c>
      <c r="M26" s="15">
        <f t="shared" si="7"/>
        <v>0</v>
      </c>
      <c r="N26" s="15">
        <f t="shared" si="8"/>
        <v>2320</v>
      </c>
      <c r="O26" s="19">
        <f t="shared" si="9"/>
        <v>0</v>
      </c>
    </row>
    <row r="27" spans="1:15" s="4" customFormat="1" ht="13" customHeight="1" x14ac:dyDescent="0.3">
      <c r="A27" s="28">
        <v>18</v>
      </c>
      <c r="B27" s="26" t="s">
        <v>46</v>
      </c>
      <c r="C27" s="27"/>
      <c r="D27" s="13" t="s">
        <v>98</v>
      </c>
      <c r="E27" s="14">
        <v>8</v>
      </c>
      <c r="F27" s="15">
        <v>290</v>
      </c>
      <c r="G27" s="15">
        <f t="shared" si="0"/>
        <v>2320</v>
      </c>
      <c r="H27" s="12" t="s">
        <v>37</v>
      </c>
      <c r="I27" s="17">
        <f t="shared" si="1"/>
        <v>8</v>
      </c>
      <c r="J27" s="18"/>
      <c r="K27" s="17"/>
      <c r="L27" s="17">
        <f t="shared" si="6"/>
        <v>8</v>
      </c>
      <c r="M27" s="15">
        <f t="shared" si="7"/>
        <v>0</v>
      </c>
      <c r="N27" s="15">
        <f t="shared" si="8"/>
        <v>2320</v>
      </c>
      <c r="O27" s="19">
        <f t="shared" si="9"/>
        <v>0</v>
      </c>
    </row>
    <row r="28" spans="1:15" s="4" customFormat="1" ht="13" customHeight="1" x14ac:dyDescent="0.3">
      <c r="A28" s="28">
        <v>19</v>
      </c>
      <c r="B28" s="29" t="s">
        <v>47</v>
      </c>
      <c r="C28" s="27"/>
      <c r="D28" s="13" t="s">
        <v>99</v>
      </c>
      <c r="E28" s="14">
        <v>17</v>
      </c>
      <c r="F28" s="15">
        <v>240</v>
      </c>
      <c r="G28" s="15">
        <f t="shared" si="0"/>
        <v>4080</v>
      </c>
      <c r="H28" s="16" t="s">
        <v>29</v>
      </c>
      <c r="I28" s="17">
        <f t="shared" si="1"/>
        <v>17</v>
      </c>
      <c r="J28" s="18"/>
      <c r="K28" s="17"/>
      <c r="L28" s="17">
        <f t="shared" si="6"/>
        <v>17</v>
      </c>
      <c r="M28" s="15">
        <f t="shared" si="7"/>
        <v>0</v>
      </c>
      <c r="N28" s="15">
        <f t="shared" si="8"/>
        <v>4080</v>
      </c>
      <c r="O28" s="19">
        <f t="shared" si="9"/>
        <v>0</v>
      </c>
    </row>
    <row r="29" spans="1:15" s="4" customFormat="1" ht="13" customHeight="1" x14ac:dyDescent="0.3">
      <c r="A29" s="28">
        <v>20</v>
      </c>
      <c r="B29" s="23" t="s">
        <v>42</v>
      </c>
      <c r="C29" s="12"/>
      <c r="D29" s="13" t="s">
        <v>43</v>
      </c>
      <c r="E29" s="14">
        <v>3.5</v>
      </c>
      <c r="F29" s="15">
        <v>310</v>
      </c>
      <c r="G29" s="15">
        <f t="shared" si="0"/>
        <v>1085</v>
      </c>
      <c r="H29" s="16" t="s">
        <v>29</v>
      </c>
      <c r="I29" s="17">
        <f t="shared" si="1"/>
        <v>3.5</v>
      </c>
      <c r="J29" s="18"/>
      <c r="K29" s="17"/>
      <c r="L29" s="17">
        <f t="shared" si="6"/>
        <v>3.5</v>
      </c>
      <c r="M29" s="15">
        <f t="shared" si="7"/>
        <v>0</v>
      </c>
      <c r="N29" s="15">
        <f t="shared" si="8"/>
        <v>1085</v>
      </c>
      <c r="O29" s="19">
        <f t="shared" si="9"/>
        <v>0</v>
      </c>
    </row>
    <row r="30" spans="1:15" s="4" customFormat="1" ht="13" customHeight="1" x14ac:dyDescent="0.3">
      <c r="A30" s="28">
        <v>20</v>
      </c>
      <c r="B30" s="23" t="s">
        <v>42</v>
      </c>
      <c r="C30" s="12"/>
      <c r="D30" s="13" t="s">
        <v>99</v>
      </c>
      <c r="E30" s="14">
        <v>7</v>
      </c>
      <c r="F30" s="15">
        <v>240</v>
      </c>
      <c r="G30" s="15">
        <f t="shared" si="0"/>
        <v>1680</v>
      </c>
      <c r="H30" s="16" t="s">
        <v>29</v>
      </c>
      <c r="I30" s="17">
        <f t="shared" si="1"/>
        <v>7</v>
      </c>
      <c r="J30" s="18"/>
      <c r="K30" s="17"/>
      <c r="L30" s="17">
        <f t="shared" si="6"/>
        <v>7</v>
      </c>
      <c r="M30" s="15">
        <f t="shared" si="7"/>
        <v>0</v>
      </c>
      <c r="N30" s="15">
        <f t="shared" si="8"/>
        <v>1680</v>
      </c>
      <c r="O30" s="19">
        <f t="shared" si="9"/>
        <v>0</v>
      </c>
    </row>
    <row r="31" spans="1:15" s="4" customFormat="1" ht="13" customHeight="1" x14ac:dyDescent="0.3">
      <c r="A31" s="28">
        <v>21</v>
      </c>
      <c r="B31" s="23" t="s">
        <v>86</v>
      </c>
      <c r="C31" s="12"/>
      <c r="D31" s="13" t="s">
        <v>99</v>
      </c>
      <c r="E31" s="14">
        <v>15</v>
      </c>
      <c r="F31" s="15">
        <v>240</v>
      </c>
      <c r="G31" s="15">
        <f t="shared" si="0"/>
        <v>3600</v>
      </c>
      <c r="H31" s="12" t="s">
        <v>37</v>
      </c>
      <c r="I31" s="17">
        <f t="shared" si="1"/>
        <v>15</v>
      </c>
      <c r="J31" s="18"/>
      <c r="K31" s="17"/>
      <c r="L31" s="17">
        <f t="shared" si="6"/>
        <v>15</v>
      </c>
      <c r="M31" s="15">
        <f t="shared" si="7"/>
        <v>0</v>
      </c>
      <c r="N31" s="15">
        <f t="shared" si="8"/>
        <v>3600</v>
      </c>
      <c r="O31" s="19">
        <f t="shared" si="9"/>
        <v>0</v>
      </c>
    </row>
    <row r="32" spans="1:15" s="4" customFormat="1" ht="13" customHeight="1" x14ac:dyDescent="0.3">
      <c r="A32" s="30">
        <v>22</v>
      </c>
      <c r="B32" s="26" t="s">
        <v>79</v>
      </c>
      <c r="C32" s="12"/>
      <c r="D32" s="13" t="s">
        <v>43</v>
      </c>
      <c r="E32" s="14">
        <v>1</v>
      </c>
      <c r="F32" s="15">
        <v>310</v>
      </c>
      <c r="G32" s="15">
        <f t="shared" si="0"/>
        <v>310</v>
      </c>
      <c r="H32" s="23" t="s">
        <v>36</v>
      </c>
      <c r="I32" s="17">
        <f t="shared" si="1"/>
        <v>1</v>
      </c>
      <c r="J32" s="18"/>
      <c r="K32" s="17"/>
      <c r="L32" s="17">
        <f t="shared" si="6"/>
        <v>1</v>
      </c>
      <c r="M32" s="15">
        <f t="shared" si="7"/>
        <v>0</v>
      </c>
      <c r="N32" s="15">
        <f t="shared" si="8"/>
        <v>310</v>
      </c>
      <c r="O32" s="19">
        <f t="shared" si="9"/>
        <v>0</v>
      </c>
    </row>
    <row r="33" spans="1:16" s="4" customFormat="1" ht="13" customHeight="1" x14ac:dyDescent="0.3">
      <c r="A33" s="30">
        <v>22</v>
      </c>
      <c r="B33" s="26" t="s">
        <v>79</v>
      </c>
      <c r="C33" s="12"/>
      <c r="D33" s="13" t="s">
        <v>43</v>
      </c>
      <c r="E33" s="14">
        <v>1</v>
      </c>
      <c r="F33" s="15">
        <v>310</v>
      </c>
      <c r="G33" s="15">
        <f t="shared" si="0"/>
        <v>310</v>
      </c>
      <c r="H33" s="16" t="s">
        <v>29</v>
      </c>
      <c r="I33" s="17">
        <f t="shared" si="1"/>
        <v>1</v>
      </c>
      <c r="J33" s="18"/>
      <c r="K33" s="17"/>
      <c r="L33" s="17">
        <f t="shared" si="6"/>
        <v>1</v>
      </c>
      <c r="M33" s="15">
        <f t="shared" si="7"/>
        <v>0</v>
      </c>
      <c r="N33" s="15">
        <f t="shared" si="8"/>
        <v>310</v>
      </c>
      <c r="O33" s="19">
        <f t="shared" si="9"/>
        <v>0</v>
      </c>
    </row>
    <row r="34" spans="1:16" s="4" customFormat="1" ht="13" customHeight="1" x14ac:dyDescent="0.3">
      <c r="A34" s="30">
        <v>22</v>
      </c>
      <c r="B34" s="26" t="s">
        <v>79</v>
      </c>
      <c r="C34" s="12"/>
      <c r="D34" s="13" t="s">
        <v>99</v>
      </c>
      <c r="E34" s="14">
        <v>2</v>
      </c>
      <c r="F34" s="15">
        <v>240</v>
      </c>
      <c r="G34" s="15">
        <f t="shared" si="0"/>
        <v>480</v>
      </c>
      <c r="H34" s="23" t="s">
        <v>36</v>
      </c>
      <c r="I34" s="17">
        <f t="shared" si="1"/>
        <v>2</v>
      </c>
      <c r="J34" s="18"/>
      <c r="K34" s="17"/>
      <c r="L34" s="17">
        <f t="shared" si="6"/>
        <v>2</v>
      </c>
      <c r="M34" s="15">
        <f t="shared" si="7"/>
        <v>0</v>
      </c>
      <c r="N34" s="15">
        <f t="shared" si="8"/>
        <v>480</v>
      </c>
      <c r="O34" s="19">
        <f t="shared" si="9"/>
        <v>0</v>
      </c>
    </row>
    <row r="35" spans="1:16" s="4" customFormat="1" ht="13" customHeight="1" x14ac:dyDescent="0.3">
      <c r="A35" s="30">
        <v>22</v>
      </c>
      <c r="B35" s="26" t="s">
        <v>79</v>
      </c>
      <c r="C35" s="12"/>
      <c r="D35" s="13" t="s">
        <v>99</v>
      </c>
      <c r="E35" s="14">
        <v>3</v>
      </c>
      <c r="F35" s="15">
        <v>240</v>
      </c>
      <c r="G35" s="15">
        <f t="shared" si="0"/>
        <v>720</v>
      </c>
      <c r="H35" s="16" t="s">
        <v>29</v>
      </c>
      <c r="I35" s="17">
        <f t="shared" si="1"/>
        <v>3</v>
      </c>
      <c r="J35" s="18"/>
      <c r="K35" s="17"/>
      <c r="L35" s="17">
        <f t="shared" si="6"/>
        <v>3</v>
      </c>
      <c r="M35" s="15">
        <f t="shared" si="7"/>
        <v>0</v>
      </c>
      <c r="N35" s="15">
        <f t="shared" si="8"/>
        <v>720</v>
      </c>
      <c r="O35" s="19">
        <f t="shared" si="9"/>
        <v>0</v>
      </c>
    </row>
    <row r="36" spans="1:16" s="4" customFormat="1" ht="13" customHeight="1" x14ac:dyDescent="0.3">
      <c r="A36" s="31">
        <v>23</v>
      </c>
      <c r="B36" s="23"/>
      <c r="C36" s="12"/>
      <c r="D36" s="13"/>
      <c r="E36" s="14"/>
      <c r="F36" s="15"/>
      <c r="G36" s="15"/>
      <c r="H36" s="23"/>
      <c r="I36" s="17">
        <f t="shared" si="1"/>
        <v>0</v>
      </c>
      <c r="J36" s="18"/>
      <c r="K36" s="17"/>
      <c r="L36" s="17">
        <f t="shared" si="2"/>
        <v>0</v>
      </c>
      <c r="M36" s="15">
        <f t="shared" si="3"/>
        <v>0</v>
      </c>
      <c r="N36" s="15">
        <f t="shared" si="4"/>
        <v>0</v>
      </c>
      <c r="O36" s="19">
        <f t="shared" si="5"/>
        <v>0</v>
      </c>
    </row>
    <row r="38" spans="1:16" ht="20.149999999999999" customHeight="1" x14ac:dyDescent="0.35">
      <c r="E38" s="32">
        <f>SUM(E5:E36)</f>
        <v>252</v>
      </c>
      <c r="G38" s="33">
        <f>SUM(G5:G36)</f>
        <v>75402</v>
      </c>
      <c r="N38" s="33">
        <f>SUM(N5:N36)</f>
        <v>75402</v>
      </c>
      <c r="O38" s="33">
        <f>SUM(O13:O37)</f>
        <v>0</v>
      </c>
      <c r="P38" s="34">
        <f>+O38+N38</f>
        <v>75402</v>
      </c>
    </row>
    <row r="39" spans="1:16" s="4" customFormat="1" ht="15" thickBot="1" x14ac:dyDescent="0.4">
      <c r="A39" s="6"/>
    </row>
    <row r="40" spans="1:16" s="4" customFormat="1" ht="15" thickBot="1" x14ac:dyDescent="0.4">
      <c r="A40" s="6"/>
      <c r="B40" s="79" t="s">
        <v>52</v>
      </c>
      <c r="C40" s="80"/>
      <c r="D40" s="81" t="s">
        <v>53</v>
      </c>
      <c r="E40" s="82"/>
      <c r="F40" s="82"/>
      <c r="G40" s="82"/>
      <c r="H40" s="83"/>
      <c r="I40" s="81">
        <v>0</v>
      </c>
      <c r="J40" s="82"/>
      <c r="K40" s="82"/>
      <c r="L40" s="82"/>
      <c r="M40" s="82"/>
      <c r="N40" s="83"/>
    </row>
    <row r="41" spans="1:16" s="4" customFormat="1" ht="19.5" customHeight="1" x14ac:dyDescent="0.35">
      <c r="A41" s="6"/>
      <c r="B41" s="38" t="s">
        <v>54</v>
      </c>
      <c r="C41" s="39">
        <v>25</v>
      </c>
      <c r="D41" s="40" t="s">
        <v>55</v>
      </c>
      <c r="E41" s="41" t="s">
        <v>56</v>
      </c>
      <c r="F41" s="41" t="s">
        <v>57</v>
      </c>
      <c r="G41" s="41" t="s">
        <v>58</v>
      </c>
      <c r="H41" s="42" t="s">
        <v>59</v>
      </c>
      <c r="I41" s="40" t="s">
        <v>56</v>
      </c>
      <c r="J41" s="41" t="s">
        <v>60</v>
      </c>
      <c r="K41" s="41" t="s">
        <v>55</v>
      </c>
      <c r="L41" s="41"/>
      <c r="M41" s="41"/>
      <c r="N41" s="42" t="s">
        <v>59</v>
      </c>
    </row>
    <row r="42" spans="1:16" s="4" customFormat="1" ht="15" thickBot="1" x14ac:dyDescent="0.35">
      <c r="A42" s="6"/>
      <c r="B42" s="43" t="s">
        <v>61</v>
      </c>
      <c r="C42" s="44">
        <v>9</v>
      </c>
      <c r="D42" s="13" t="s">
        <v>94</v>
      </c>
      <c r="E42" s="45" t="s">
        <v>100</v>
      </c>
      <c r="F42" s="34">
        <f>SUM(E5:E6)</f>
        <v>25</v>
      </c>
      <c r="G42" s="34">
        <v>310</v>
      </c>
      <c r="H42" s="19">
        <f>F42*G42</f>
        <v>7750</v>
      </c>
      <c r="I42" s="46">
        <v>1</v>
      </c>
      <c r="J42" s="16" t="s">
        <v>63</v>
      </c>
      <c r="K42" s="47" t="s">
        <v>64</v>
      </c>
      <c r="L42" s="14">
        <v>9</v>
      </c>
      <c r="M42" s="48">
        <v>550</v>
      </c>
      <c r="N42" s="49">
        <f>M42*L42</f>
        <v>4950</v>
      </c>
    </row>
    <row r="43" spans="1:16" s="4" customFormat="1" ht="15" thickBot="1" x14ac:dyDescent="0.35">
      <c r="A43" s="50"/>
      <c r="B43" s="87"/>
      <c r="C43" s="51"/>
      <c r="D43" s="13" t="s">
        <v>87</v>
      </c>
      <c r="E43" s="45" t="s">
        <v>101</v>
      </c>
      <c r="F43" s="34">
        <f>SUM(E7:E9)</f>
        <v>25</v>
      </c>
      <c r="G43" s="34">
        <v>310</v>
      </c>
      <c r="H43" s="19">
        <f t="shared" ref="H43:H53" si="10">F43*G43</f>
        <v>7750</v>
      </c>
      <c r="I43" s="46">
        <v>2</v>
      </c>
      <c r="J43" s="16" t="s">
        <v>66</v>
      </c>
      <c r="K43" s="47" t="s">
        <v>64</v>
      </c>
      <c r="L43" s="14">
        <v>9</v>
      </c>
      <c r="M43" s="48">
        <v>550</v>
      </c>
      <c r="N43" s="49">
        <f t="shared" ref="N43:N44" si="11">M43*L43</f>
        <v>4950</v>
      </c>
    </row>
    <row r="44" spans="1:16" s="4" customFormat="1" ht="12.5" customHeight="1" x14ac:dyDescent="0.3">
      <c r="A44" s="6"/>
      <c r="B44" s="84"/>
      <c r="C44" s="51"/>
      <c r="D44" s="13" t="s">
        <v>89</v>
      </c>
      <c r="E44" s="45" t="s">
        <v>102</v>
      </c>
      <c r="F44" s="34">
        <f>SUM(E10:E11)</f>
        <v>24</v>
      </c>
      <c r="G44" s="34">
        <v>310</v>
      </c>
      <c r="H44" s="52">
        <f>F44*G44</f>
        <v>7440</v>
      </c>
      <c r="I44" s="46">
        <v>3</v>
      </c>
      <c r="J44" s="12" t="s">
        <v>68</v>
      </c>
      <c r="K44" s="47" t="s">
        <v>64</v>
      </c>
      <c r="L44" s="14">
        <v>9</v>
      </c>
      <c r="M44" s="48">
        <v>550</v>
      </c>
      <c r="N44" s="49">
        <f t="shared" si="11"/>
        <v>4950</v>
      </c>
    </row>
    <row r="45" spans="1:16" s="4" customFormat="1" ht="15" thickBot="1" x14ac:dyDescent="0.35">
      <c r="A45" s="6"/>
      <c r="B45" s="84"/>
      <c r="C45" s="51"/>
      <c r="D45" s="13" t="s">
        <v>95</v>
      </c>
      <c r="E45" s="45" t="s">
        <v>103</v>
      </c>
      <c r="F45" s="34">
        <f>SUM(E12:E13)</f>
        <v>25</v>
      </c>
      <c r="G45" s="34">
        <v>310</v>
      </c>
      <c r="H45" s="52">
        <f t="shared" si="10"/>
        <v>7750</v>
      </c>
      <c r="I45" s="46"/>
      <c r="J45" s="16"/>
      <c r="K45" s="47"/>
      <c r="L45" s="14"/>
      <c r="M45" s="48">
        <v>550</v>
      </c>
      <c r="N45" s="53">
        <f>M45*L45</f>
        <v>0</v>
      </c>
    </row>
    <row r="46" spans="1:16" s="4" customFormat="1" ht="12" customHeight="1" x14ac:dyDescent="0.3">
      <c r="A46" s="6"/>
      <c r="B46" s="84"/>
      <c r="D46" s="13" t="s">
        <v>34</v>
      </c>
      <c r="E46" s="45" t="s">
        <v>67</v>
      </c>
      <c r="F46" s="34">
        <f>SUM(E14:E17)</f>
        <v>13</v>
      </c>
      <c r="G46" s="34">
        <v>324</v>
      </c>
      <c r="H46" s="52">
        <f t="shared" si="10"/>
        <v>4212</v>
      </c>
      <c r="I46" s="54"/>
      <c r="J46" s="55"/>
      <c r="K46" s="56"/>
      <c r="L46" s="6"/>
      <c r="M46" s="54"/>
      <c r="N46" s="57">
        <f>N42+N44+N43</f>
        <v>14850</v>
      </c>
    </row>
    <row r="47" spans="1:16" s="4" customFormat="1" ht="12" customHeight="1" x14ac:dyDescent="0.3">
      <c r="A47" s="6"/>
      <c r="B47" s="84"/>
      <c r="D47" s="13" t="s">
        <v>96</v>
      </c>
      <c r="E47" s="45" t="s">
        <v>104</v>
      </c>
      <c r="F47" s="34">
        <f>SUM(E18:E20,E22)</f>
        <v>51</v>
      </c>
      <c r="G47" s="34">
        <v>290</v>
      </c>
      <c r="H47" s="52">
        <f t="shared" si="10"/>
        <v>14790</v>
      </c>
      <c r="I47" s="54"/>
      <c r="J47" s="55"/>
      <c r="K47" s="56"/>
      <c r="L47" s="6"/>
      <c r="M47" s="54"/>
      <c r="N47" s="54"/>
    </row>
    <row r="48" spans="1:16" s="4" customFormat="1" ht="14" customHeight="1" thickBot="1" x14ac:dyDescent="0.35">
      <c r="A48" s="6"/>
      <c r="B48" s="84"/>
      <c r="D48" s="13" t="s">
        <v>43</v>
      </c>
      <c r="E48" s="45" t="s">
        <v>69</v>
      </c>
      <c r="F48" s="34">
        <f>SUM(E21,E29,E32:E33)</f>
        <v>10</v>
      </c>
      <c r="G48" s="34">
        <v>310</v>
      </c>
      <c r="H48" s="52">
        <f t="shared" si="10"/>
        <v>3100</v>
      </c>
      <c r="N48" s="58"/>
    </row>
    <row r="49" spans="1:14" s="4" customFormat="1" x14ac:dyDescent="0.3">
      <c r="A49" s="6"/>
      <c r="B49" s="84"/>
      <c r="D49" s="13" t="s">
        <v>97</v>
      </c>
      <c r="E49" s="45" t="s">
        <v>105</v>
      </c>
      <c r="F49" s="34">
        <f>SUM(E23:E25)</f>
        <v>19</v>
      </c>
      <c r="G49" s="34">
        <v>390</v>
      </c>
      <c r="H49" s="52">
        <f t="shared" si="10"/>
        <v>7410</v>
      </c>
      <c r="I49" s="35" t="s">
        <v>70</v>
      </c>
      <c r="J49" s="36"/>
      <c r="K49" s="36"/>
      <c r="L49" s="36"/>
      <c r="M49" s="36"/>
      <c r="N49" s="37"/>
    </row>
    <row r="50" spans="1:14" s="4" customFormat="1" ht="14" customHeight="1" x14ac:dyDescent="0.3">
      <c r="B50" s="84"/>
      <c r="C50" s="59"/>
      <c r="D50" s="13" t="s">
        <v>98</v>
      </c>
      <c r="E50" s="45" t="s">
        <v>106</v>
      </c>
      <c r="F50" s="34">
        <f>SUM(E26:E27)</f>
        <v>16</v>
      </c>
      <c r="G50" s="34">
        <v>290</v>
      </c>
      <c r="H50" s="52">
        <f t="shared" si="10"/>
        <v>4640</v>
      </c>
      <c r="I50" s="60" t="s">
        <v>56</v>
      </c>
      <c r="J50" s="61" t="s">
        <v>72</v>
      </c>
      <c r="K50" s="61" t="s">
        <v>55</v>
      </c>
      <c r="L50" s="61" t="s">
        <v>3</v>
      </c>
      <c r="M50" s="61" t="s">
        <v>58</v>
      </c>
      <c r="N50" s="62" t="s">
        <v>59</v>
      </c>
    </row>
    <row r="51" spans="1:14" s="4" customFormat="1" x14ac:dyDescent="0.3">
      <c r="B51" s="84"/>
      <c r="D51" s="13" t="s">
        <v>99</v>
      </c>
      <c r="E51" s="45" t="s">
        <v>107</v>
      </c>
      <c r="F51" s="34">
        <f>SUM(E28,E30,E31,E34:E35)</f>
        <v>44</v>
      </c>
      <c r="G51" s="34">
        <v>240</v>
      </c>
      <c r="H51" s="52">
        <f t="shared" si="10"/>
        <v>10560</v>
      </c>
      <c r="I51" s="63">
        <v>1</v>
      </c>
      <c r="J51" s="64" t="s">
        <v>73</v>
      </c>
      <c r="K51" s="48" t="s">
        <v>74</v>
      </c>
      <c r="L51" s="34">
        <v>28</v>
      </c>
      <c r="M51" s="48">
        <v>1000</v>
      </c>
      <c r="N51" s="49">
        <f t="shared" ref="N51:N52" si="12">L51*M51</f>
        <v>28000</v>
      </c>
    </row>
    <row r="52" spans="1:14" s="4" customFormat="1" x14ac:dyDescent="0.3">
      <c r="B52" s="84"/>
      <c r="D52" s="13"/>
      <c r="E52" s="45"/>
      <c r="F52" s="34"/>
      <c r="G52" s="34"/>
      <c r="H52" s="52">
        <f t="shared" si="10"/>
        <v>0</v>
      </c>
      <c r="I52" s="46">
        <v>2</v>
      </c>
      <c r="J52" s="64" t="s">
        <v>75</v>
      </c>
      <c r="K52" s="48" t="s">
        <v>74</v>
      </c>
      <c r="L52" s="34">
        <v>32</v>
      </c>
      <c r="M52" s="48">
        <v>1000</v>
      </c>
      <c r="N52" s="49">
        <f t="shared" si="12"/>
        <v>32000</v>
      </c>
    </row>
    <row r="53" spans="1:14" s="4" customFormat="1" ht="15" thickBot="1" x14ac:dyDescent="0.35">
      <c r="B53" s="84"/>
      <c r="D53" s="13"/>
      <c r="E53" s="45"/>
      <c r="F53" s="34"/>
      <c r="G53" s="34"/>
      <c r="H53" s="52">
        <f t="shared" si="10"/>
        <v>0</v>
      </c>
      <c r="I53" s="46">
        <v>3</v>
      </c>
      <c r="J53" s="65" t="s">
        <v>76</v>
      </c>
      <c r="K53" s="48" t="s">
        <v>74</v>
      </c>
      <c r="L53" s="34"/>
      <c r="M53" s="48">
        <v>1000</v>
      </c>
      <c r="N53" s="49">
        <f>L53*M53</f>
        <v>0</v>
      </c>
    </row>
    <row r="54" spans="1:14" s="4" customFormat="1" x14ac:dyDescent="0.35">
      <c r="E54" s="85" t="s">
        <v>59</v>
      </c>
      <c r="F54" s="86"/>
      <c r="G54" s="66">
        <f>SUM(F42:F53)</f>
        <v>252</v>
      </c>
      <c r="H54" s="33">
        <f>SUM(H42:H53)</f>
        <v>75402</v>
      </c>
      <c r="L54" s="4">
        <f>SUM(L51:L53)</f>
        <v>60</v>
      </c>
      <c r="M54" s="57"/>
      <c r="N54" s="67">
        <f>SUM(N51:N53)</f>
        <v>60000</v>
      </c>
    </row>
    <row r="55" spans="1:14" s="4" customFormat="1" x14ac:dyDescent="0.35"/>
    <row r="56" spans="1:14" s="4" customFormat="1" ht="8" customHeight="1" x14ac:dyDescent="0.35"/>
    <row r="57" spans="1:14" s="4" customFormat="1" ht="8.5" customHeight="1" x14ac:dyDescent="0.35"/>
    <row r="58" spans="1:14" s="4" customFormat="1" ht="8" customHeight="1" x14ac:dyDescent="0.25">
      <c r="G58" s="68"/>
    </row>
    <row r="59" spans="1:14" s="4" customFormat="1" ht="15" thickBot="1" x14ac:dyDescent="0.4">
      <c r="C59" s="77"/>
      <c r="D59" s="77"/>
      <c r="I59" s="77"/>
      <c r="J59" s="77"/>
    </row>
    <row r="60" spans="1:14" s="4" customFormat="1" x14ac:dyDescent="0.35">
      <c r="C60" s="78" t="s">
        <v>77</v>
      </c>
      <c r="D60" s="78"/>
      <c r="I60" s="78" t="s">
        <v>78</v>
      </c>
      <c r="J60" s="78"/>
    </row>
    <row r="61" spans="1:14" s="4" customFormat="1" x14ac:dyDescent="0.35"/>
    <row r="66" spans="1:7" s="4" customFormat="1" x14ac:dyDescent="0.35">
      <c r="A66" s="6"/>
      <c r="G66" s="69"/>
    </row>
    <row r="67" spans="1:7" s="4" customFormat="1" x14ac:dyDescent="0.35">
      <c r="A67" s="6"/>
      <c r="E67" s="6"/>
      <c r="G67" s="69"/>
    </row>
    <row r="68" spans="1:7" s="4" customFormat="1" x14ac:dyDescent="0.35">
      <c r="A68" s="6"/>
      <c r="G68" s="69"/>
    </row>
    <row r="69" spans="1:7" s="4" customFormat="1" x14ac:dyDescent="0.35">
      <c r="A69" s="6"/>
      <c r="G69" s="69"/>
    </row>
    <row r="70" spans="1:7" s="4" customFormat="1" x14ac:dyDescent="0.35">
      <c r="A70" s="6"/>
      <c r="G70" s="69"/>
    </row>
    <row r="71" spans="1:7" s="4" customFormat="1" x14ac:dyDescent="0.35">
      <c r="A71" s="6"/>
      <c r="G71" s="69"/>
    </row>
  </sheetData>
  <mergeCells count="10">
    <mergeCell ref="C59:D59"/>
    <mergeCell ref="I59:J59"/>
    <mergeCell ref="C60:D60"/>
    <mergeCell ref="I60:J60"/>
    <mergeCell ref="D1:F1"/>
    <mergeCell ref="B40:C40"/>
    <mergeCell ref="D40:H40"/>
    <mergeCell ref="I40:N40"/>
    <mergeCell ref="B43:B53"/>
    <mergeCell ref="E54:F54"/>
  </mergeCells>
  <conditionalFormatting sqref="P38">
    <cfRule type="cellIs" dxfId="13" priority="1" operator="lessThan">
      <formula>$G$38</formula>
    </cfRule>
    <cfRule type="cellIs" dxfId="12" priority="2" operator="greaterThan">
      <formula>$G$38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08F0-4BAF-49D0-8A93-DFEE6161248A}">
  <dimension ref="A1:P68"/>
  <sheetViews>
    <sheetView topLeftCell="A4" zoomScale="106" zoomScaleNormal="106" workbookViewId="0">
      <selection activeCell="C14" sqref="C14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46150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94</v>
      </c>
      <c r="E5" s="14">
        <v>12</v>
      </c>
      <c r="F5" s="15">
        <v>310</v>
      </c>
      <c r="G5" s="15">
        <f t="shared" ref="G5:G33" si="0">+E5*F5</f>
        <v>3720</v>
      </c>
      <c r="H5" s="16" t="s">
        <v>22</v>
      </c>
      <c r="I5" s="17">
        <f t="shared" ref="I5:I33" si="1">E5</f>
        <v>12</v>
      </c>
      <c r="J5" s="18"/>
      <c r="K5" s="17"/>
      <c r="L5" s="17">
        <f t="shared" ref="L5:L33" si="2">E5</f>
        <v>12</v>
      </c>
      <c r="M5" s="15">
        <f t="shared" ref="M5:M33" si="3">E5-L5</f>
        <v>0</v>
      </c>
      <c r="N5" s="15">
        <f t="shared" ref="N5:N33" si="4">E5*F5</f>
        <v>3720</v>
      </c>
      <c r="O5" s="19">
        <f t="shared" ref="O5:O33" si="5">+K5*F5</f>
        <v>0</v>
      </c>
    </row>
    <row r="6" spans="1:15" s="20" customFormat="1" ht="14.5" customHeight="1" x14ac:dyDescent="0.3">
      <c r="A6" s="11">
        <v>2</v>
      </c>
      <c r="B6" s="23" t="s">
        <v>45</v>
      </c>
      <c r="C6" s="12"/>
      <c r="D6" s="13" t="s">
        <v>94</v>
      </c>
      <c r="E6" s="14">
        <v>12</v>
      </c>
      <c r="F6" s="15">
        <v>310</v>
      </c>
      <c r="G6" s="15">
        <f t="shared" si="0"/>
        <v>3720</v>
      </c>
      <c r="H6" s="16" t="s">
        <v>22</v>
      </c>
      <c r="I6" s="17">
        <f t="shared" si="1"/>
        <v>12</v>
      </c>
      <c r="J6" s="18"/>
      <c r="K6" s="17"/>
      <c r="L6" s="17">
        <f t="shared" si="2"/>
        <v>12</v>
      </c>
      <c r="M6" s="15">
        <f t="shared" si="3"/>
        <v>0</v>
      </c>
      <c r="N6" s="15">
        <f t="shared" si="4"/>
        <v>3720</v>
      </c>
      <c r="O6" s="19">
        <f t="shared" si="5"/>
        <v>0</v>
      </c>
    </row>
    <row r="7" spans="1:15" s="20" customFormat="1" ht="14.5" customHeight="1" x14ac:dyDescent="0.3">
      <c r="A7" s="11">
        <v>3</v>
      </c>
      <c r="B7" s="21" t="s">
        <v>24</v>
      </c>
      <c r="C7" s="12"/>
      <c r="D7" s="13" t="s">
        <v>87</v>
      </c>
      <c r="E7" s="14">
        <v>13</v>
      </c>
      <c r="F7" s="15">
        <v>310</v>
      </c>
      <c r="G7" s="15">
        <f t="shared" si="0"/>
        <v>4030</v>
      </c>
      <c r="H7" s="18" t="s">
        <v>38</v>
      </c>
      <c r="I7" s="17">
        <f t="shared" si="1"/>
        <v>13</v>
      </c>
      <c r="J7" s="18"/>
      <c r="K7" s="17"/>
      <c r="L7" s="17">
        <f t="shared" si="2"/>
        <v>13</v>
      </c>
      <c r="M7" s="15">
        <f t="shared" si="3"/>
        <v>0</v>
      </c>
      <c r="N7" s="15">
        <f t="shared" si="4"/>
        <v>4030</v>
      </c>
      <c r="O7" s="19">
        <f t="shared" si="5"/>
        <v>0</v>
      </c>
    </row>
    <row r="8" spans="1:15" s="20" customFormat="1" ht="14.5" customHeight="1" x14ac:dyDescent="0.3">
      <c r="A8" s="11">
        <v>3</v>
      </c>
      <c r="B8" s="22" t="s">
        <v>26</v>
      </c>
      <c r="C8" s="12"/>
      <c r="D8" s="13" t="s">
        <v>87</v>
      </c>
      <c r="E8" s="14">
        <v>1</v>
      </c>
      <c r="F8" s="15">
        <v>310</v>
      </c>
      <c r="G8" s="15">
        <f t="shared" si="0"/>
        <v>310</v>
      </c>
      <c r="H8" s="23" t="s">
        <v>36</v>
      </c>
      <c r="I8" s="17">
        <f t="shared" si="1"/>
        <v>1</v>
      </c>
      <c r="J8" s="18"/>
      <c r="K8" s="17"/>
      <c r="L8" s="17">
        <f t="shared" si="2"/>
        <v>1</v>
      </c>
      <c r="M8" s="15">
        <f t="shared" si="3"/>
        <v>0</v>
      </c>
      <c r="N8" s="15">
        <f t="shared" si="4"/>
        <v>310</v>
      </c>
      <c r="O8" s="19">
        <f t="shared" si="5"/>
        <v>0</v>
      </c>
    </row>
    <row r="9" spans="1:15" s="20" customFormat="1" ht="14.5" customHeight="1" x14ac:dyDescent="0.3">
      <c r="A9" s="11">
        <v>4</v>
      </c>
      <c r="B9" s="23" t="s">
        <v>32</v>
      </c>
      <c r="C9" s="26" t="s">
        <v>112</v>
      </c>
      <c r="D9" s="13" t="s">
        <v>87</v>
      </c>
      <c r="E9" s="14">
        <v>10</v>
      </c>
      <c r="F9" s="15">
        <v>310</v>
      </c>
      <c r="G9" s="15">
        <f t="shared" si="0"/>
        <v>3100</v>
      </c>
      <c r="H9" s="18" t="s">
        <v>38</v>
      </c>
      <c r="I9" s="17">
        <f t="shared" si="1"/>
        <v>10</v>
      </c>
      <c r="J9" s="18"/>
      <c r="K9" s="17"/>
      <c r="L9" s="17">
        <f t="shared" si="2"/>
        <v>10</v>
      </c>
      <c r="M9" s="15">
        <f t="shared" si="3"/>
        <v>0</v>
      </c>
      <c r="N9" s="15">
        <f t="shared" si="4"/>
        <v>3100</v>
      </c>
      <c r="O9" s="19">
        <f t="shared" si="5"/>
        <v>0</v>
      </c>
    </row>
    <row r="10" spans="1:15" s="20" customFormat="1" ht="14.5" customHeight="1" x14ac:dyDescent="0.3">
      <c r="A10" s="11">
        <v>5</v>
      </c>
      <c r="B10" s="16" t="s">
        <v>23</v>
      </c>
      <c r="C10" s="12"/>
      <c r="D10" s="13" t="s">
        <v>89</v>
      </c>
      <c r="E10" s="14">
        <v>8</v>
      </c>
      <c r="F10" s="15">
        <v>310</v>
      </c>
      <c r="G10" s="15">
        <f t="shared" si="0"/>
        <v>2480</v>
      </c>
      <c r="H10" s="26" t="s">
        <v>50</v>
      </c>
      <c r="I10" s="17">
        <f t="shared" si="1"/>
        <v>8</v>
      </c>
      <c r="J10" s="18"/>
      <c r="K10" s="17"/>
      <c r="L10" s="17">
        <f t="shared" si="2"/>
        <v>8</v>
      </c>
      <c r="M10" s="15">
        <f t="shared" si="3"/>
        <v>0</v>
      </c>
      <c r="N10" s="15">
        <f t="shared" si="4"/>
        <v>2480</v>
      </c>
      <c r="O10" s="19">
        <f t="shared" si="5"/>
        <v>0</v>
      </c>
    </row>
    <row r="11" spans="1:15" s="20" customFormat="1" ht="14.5" customHeight="1" x14ac:dyDescent="0.3">
      <c r="A11" s="11">
        <v>5</v>
      </c>
      <c r="B11" s="16" t="s">
        <v>23</v>
      </c>
      <c r="C11" s="26" t="s">
        <v>110</v>
      </c>
      <c r="D11" s="13" t="s">
        <v>108</v>
      </c>
      <c r="E11" s="14">
        <v>3</v>
      </c>
      <c r="F11" s="15">
        <v>310</v>
      </c>
      <c r="G11" s="15">
        <f t="shared" si="0"/>
        <v>930</v>
      </c>
      <c r="H11" s="26" t="s">
        <v>50</v>
      </c>
      <c r="I11" s="17">
        <f t="shared" si="1"/>
        <v>3</v>
      </c>
      <c r="J11" s="18"/>
      <c r="K11" s="17"/>
      <c r="L11" s="17">
        <f t="shared" si="2"/>
        <v>3</v>
      </c>
      <c r="M11" s="15">
        <f t="shared" si="3"/>
        <v>0</v>
      </c>
      <c r="N11" s="15">
        <f t="shared" si="4"/>
        <v>930</v>
      </c>
      <c r="O11" s="19">
        <f t="shared" si="5"/>
        <v>0</v>
      </c>
    </row>
    <row r="12" spans="1:15" s="20" customFormat="1" ht="14.5" customHeight="1" x14ac:dyDescent="0.3">
      <c r="A12" s="11">
        <v>5</v>
      </c>
      <c r="B12" s="16" t="s">
        <v>23</v>
      </c>
      <c r="C12" s="26" t="s">
        <v>110</v>
      </c>
      <c r="D12" s="13" t="s">
        <v>108</v>
      </c>
      <c r="E12" s="14">
        <v>2</v>
      </c>
      <c r="F12" s="15">
        <v>310</v>
      </c>
      <c r="G12" s="15">
        <f t="shared" si="0"/>
        <v>620</v>
      </c>
      <c r="H12" s="16" t="s">
        <v>27</v>
      </c>
      <c r="I12" s="17"/>
      <c r="J12" s="18"/>
      <c r="K12" s="17"/>
      <c r="L12" s="17"/>
      <c r="M12" s="15"/>
      <c r="N12" s="15">
        <f t="shared" si="4"/>
        <v>620</v>
      </c>
      <c r="O12" s="19">
        <f t="shared" si="5"/>
        <v>0</v>
      </c>
    </row>
    <row r="13" spans="1:15" s="20" customFormat="1" ht="14.5" customHeight="1" x14ac:dyDescent="0.3">
      <c r="A13" s="11">
        <v>6</v>
      </c>
      <c r="B13" s="70" t="s">
        <v>82</v>
      </c>
      <c r="C13" s="26" t="s">
        <v>83</v>
      </c>
      <c r="D13" s="13" t="s">
        <v>89</v>
      </c>
      <c r="E13" s="14">
        <v>3</v>
      </c>
      <c r="F13" s="15">
        <v>310</v>
      </c>
      <c r="G13" s="15">
        <f t="shared" si="0"/>
        <v>930</v>
      </c>
      <c r="H13" s="26" t="s">
        <v>50</v>
      </c>
      <c r="I13" s="17">
        <f t="shared" si="1"/>
        <v>3</v>
      </c>
      <c r="J13" s="18"/>
      <c r="K13" s="17"/>
      <c r="L13" s="17">
        <f t="shared" si="2"/>
        <v>3</v>
      </c>
      <c r="M13" s="15">
        <f t="shared" si="3"/>
        <v>0</v>
      </c>
      <c r="N13" s="15">
        <f t="shared" si="4"/>
        <v>930</v>
      </c>
      <c r="O13" s="19">
        <f t="shared" si="5"/>
        <v>0</v>
      </c>
    </row>
    <row r="14" spans="1:15" s="20" customFormat="1" ht="14.5" customHeight="1" x14ac:dyDescent="0.3">
      <c r="A14" s="11">
        <v>6</v>
      </c>
      <c r="B14" s="70" t="s">
        <v>82</v>
      </c>
      <c r="C14" s="26" t="s">
        <v>83</v>
      </c>
      <c r="D14" s="13" t="s">
        <v>108</v>
      </c>
      <c r="E14" s="14">
        <v>9</v>
      </c>
      <c r="F14" s="15">
        <v>310</v>
      </c>
      <c r="G14" s="15">
        <f t="shared" si="0"/>
        <v>2790</v>
      </c>
      <c r="H14" s="26" t="s">
        <v>50</v>
      </c>
      <c r="I14" s="17">
        <f t="shared" si="1"/>
        <v>9</v>
      </c>
      <c r="J14" s="18"/>
      <c r="K14" s="17"/>
      <c r="L14" s="17">
        <f t="shared" si="2"/>
        <v>9</v>
      </c>
      <c r="M14" s="15">
        <f t="shared" si="3"/>
        <v>0</v>
      </c>
      <c r="N14" s="15">
        <f t="shared" si="4"/>
        <v>2790</v>
      </c>
      <c r="O14" s="19">
        <f t="shared" si="5"/>
        <v>0</v>
      </c>
    </row>
    <row r="15" spans="1:15" s="20" customFormat="1" ht="14.5" customHeight="1" x14ac:dyDescent="0.3">
      <c r="A15" s="11">
        <v>7</v>
      </c>
      <c r="B15" s="23" t="s">
        <v>40</v>
      </c>
      <c r="C15" s="12"/>
      <c r="D15" s="13" t="s">
        <v>95</v>
      </c>
      <c r="E15" s="14">
        <v>12</v>
      </c>
      <c r="F15" s="15">
        <v>310</v>
      </c>
      <c r="G15" s="15">
        <f t="shared" si="0"/>
        <v>3720</v>
      </c>
      <c r="H15" s="16" t="s">
        <v>27</v>
      </c>
      <c r="I15" s="17">
        <f t="shared" si="1"/>
        <v>12</v>
      </c>
      <c r="J15" s="18"/>
      <c r="K15" s="17"/>
      <c r="L15" s="17">
        <f t="shared" si="2"/>
        <v>12</v>
      </c>
      <c r="M15" s="15">
        <f t="shared" si="3"/>
        <v>0</v>
      </c>
      <c r="N15" s="15">
        <f t="shared" si="4"/>
        <v>3720</v>
      </c>
      <c r="O15" s="19">
        <f t="shared" si="5"/>
        <v>0</v>
      </c>
    </row>
    <row r="16" spans="1:15" s="24" customFormat="1" ht="14.5" customHeight="1" x14ac:dyDescent="0.3">
      <c r="A16" s="11">
        <v>8</v>
      </c>
      <c r="B16" s="12" t="s">
        <v>28</v>
      </c>
      <c r="C16" s="12"/>
      <c r="D16" s="13" t="s">
        <v>95</v>
      </c>
      <c r="E16" s="14">
        <v>12</v>
      </c>
      <c r="F16" s="15">
        <v>310</v>
      </c>
      <c r="G16" s="15">
        <f t="shared" si="0"/>
        <v>3720</v>
      </c>
      <c r="H16" s="16" t="s">
        <v>27</v>
      </c>
      <c r="I16" s="17">
        <f t="shared" si="1"/>
        <v>12</v>
      </c>
      <c r="J16" s="18"/>
      <c r="K16" s="17"/>
      <c r="L16" s="17">
        <f t="shared" si="2"/>
        <v>12</v>
      </c>
      <c r="M16" s="15">
        <f t="shared" si="3"/>
        <v>0</v>
      </c>
      <c r="N16" s="15">
        <f t="shared" si="4"/>
        <v>3720</v>
      </c>
      <c r="O16" s="19">
        <f t="shared" si="5"/>
        <v>0</v>
      </c>
    </row>
    <row r="17" spans="1:15" s="24" customFormat="1" ht="14.5" customHeight="1" x14ac:dyDescent="0.3">
      <c r="A17" s="11">
        <v>9</v>
      </c>
      <c r="B17" s="25" t="s">
        <v>33</v>
      </c>
      <c r="C17" s="12"/>
      <c r="D17" s="13" t="s">
        <v>34</v>
      </c>
      <c r="E17" s="14">
        <v>7</v>
      </c>
      <c r="F17" s="15">
        <v>324</v>
      </c>
      <c r="G17" s="15">
        <f t="shared" si="0"/>
        <v>2268</v>
      </c>
      <c r="H17" s="16" t="s">
        <v>80</v>
      </c>
      <c r="I17" s="17">
        <f t="shared" si="1"/>
        <v>7</v>
      </c>
      <c r="J17" s="18"/>
      <c r="K17" s="17"/>
      <c r="L17" s="17">
        <f t="shared" si="2"/>
        <v>7</v>
      </c>
      <c r="M17" s="15">
        <f t="shared" si="3"/>
        <v>0</v>
      </c>
      <c r="N17" s="15">
        <f t="shared" si="4"/>
        <v>2268</v>
      </c>
      <c r="O17" s="19">
        <f t="shared" si="5"/>
        <v>0</v>
      </c>
    </row>
    <row r="18" spans="1:15" s="24" customFormat="1" ht="14.5" customHeight="1" x14ac:dyDescent="0.3">
      <c r="A18" s="11">
        <v>10</v>
      </c>
      <c r="B18" s="26" t="s">
        <v>35</v>
      </c>
      <c r="C18" s="12"/>
      <c r="D18" s="13" t="s">
        <v>34</v>
      </c>
      <c r="E18" s="14">
        <v>4</v>
      </c>
      <c r="F18" s="15">
        <v>324</v>
      </c>
      <c r="G18" s="15">
        <f t="shared" si="0"/>
        <v>1296</v>
      </c>
      <c r="H18" s="16" t="s">
        <v>80</v>
      </c>
      <c r="I18" s="17">
        <f t="shared" si="1"/>
        <v>4</v>
      </c>
      <c r="J18" s="18"/>
      <c r="K18" s="17"/>
      <c r="L18" s="17">
        <f t="shared" si="2"/>
        <v>4</v>
      </c>
      <c r="M18" s="15">
        <f t="shared" si="3"/>
        <v>0</v>
      </c>
      <c r="N18" s="15">
        <f t="shared" si="4"/>
        <v>1296</v>
      </c>
      <c r="O18" s="19">
        <f t="shared" si="5"/>
        <v>0</v>
      </c>
    </row>
    <row r="19" spans="1:15" s="24" customFormat="1" ht="14.5" customHeight="1" x14ac:dyDescent="0.3">
      <c r="A19" s="11">
        <v>11</v>
      </c>
      <c r="B19" s="12" t="s">
        <v>30</v>
      </c>
      <c r="C19" s="12"/>
      <c r="D19" s="13" t="s">
        <v>96</v>
      </c>
      <c r="E19" s="14">
        <v>16</v>
      </c>
      <c r="F19" s="15">
        <v>290</v>
      </c>
      <c r="G19" s="15">
        <f t="shared" si="0"/>
        <v>4640</v>
      </c>
      <c r="H19" s="23" t="s">
        <v>41</v>
      </c>
      <c r="I19" s="17">
        <f t="shared" si="1"/>
        <v>16</v>
      </c>
      <c r="J19" s="18"/>
      <c r="K19" s="17"/>
      <c r="L19" s="17">
        <f t="shared" si="2"/>
        <v>16</v>
      </c>
      <c r="M19" s="15">
        <f t="shared" si="3"/>
        <v>0</v>
      </c>
      <c r="N19" s="15">
        <f t="shared" si="4"/>
        <v>4640</v>
      </c>
      <c r="O19" s="19">
        <f t="shared" si="5"/>
        <v>0</v>
      </c>
    </row>
    <row r="20" spans="1:15" s="24" customFormat="1" ht="14.5" customHeight="1" x14ac:dyDescent="0.3">
      <c r="A20" s="11">
        <v>12</v>
      </c>
      <c r="B20" s="12" t="s">
        <v>44</v>
      </c>
      <c r="C20" s="12"/>
      <c r="D20" s="13" t="s">
        <v>96</v>
      </c>
      <c r="E20" s="14">
        <v>14</v>
      </c>
      <c r="F20" s="15">
        <v>290</v>
      </c>
      <c r="G20" s="15">
        <f t="shared" si="0"/>
        <v>4060</v>
      </c>
      <c r="H20" s="23" t="s">
        <v>41</v>
      </c>
      <c r="I20" s="17">
        <f t="shared" si="1"/>
        <v>14</v>
      </c>
      <c r="J20" s="18"/>
      <c r="K20" s="17"/>
      <c r="L20" s="17">
        <f t="shared" si="2"/>
        <v>14</v>
      </c>
      <c r="M20" s="15">
        <f t="shared" si="3"/>
        <v>0</v>
      </c>
      <c r="N20" s="15">
        <f t="shared" si="4"/>
        <v>4060</v>
      </c>
      <c r="O20" s="19">
        <f t="shared" si="5"/>
        <v>0</v>
      </c>
    </row>
    <row r="21" spans="1:15" s="24" customFormat="1" ht="14.5" customHeight="1" x14ac:dyDescent="0.3">
      <c r="A21" s="11">
        <v>13</v>
      </c>
      <c r="B21" s="23" t="s">
        <v>49</v>
      </c>
      <c r="C21" s="26" t="s">
        <v>111</v>
      </c>
      <c r="D21" s="13" t="s">
        <v>96</v>
      </c>
      <c r="E21" s="14">
        <v>14</v>
      </c>
      <c r="F21" s="15">
        <v>290</v>
      </c>
      <c r="G21" s="15">
        <f t="shared" si="0"/>
        <v>4060</v>
      </c>
      <c r="H21" s="16" t="s">
        <v>80</v>
      </c>
      <c r="I21" s="17">
        <f t="shared" si="1"/>
        <v>14</v>
      </c>
      <c r="J21" s="18"/>
      <c r="K21" s="17"/>
      <c r="L21" s="17">
        <f t="shared" si="2"/>
        <v>14</v>
      </c>
      <c r="M21" s="15">
        <f t="shared" si="3"/>
        <v>0</v>
      </c>
      <c r="N21" s="15">
        <f t="shared" si="4"/>
        <v>4060</v>
      </c>
      <c r="O21" s="19">
        <f t="shared" si="5"/>
        <v>0</v>
      </c>
    </row>
    <row r="22" spans="1:15" s="20" customFormat="1" ht="13" customHeight="1" x14ac:dyDescent="0.3">
      <c r="A22" s="11">
        <v>15</v>
      </c>
      <c r="B22" s="12" t="s">
        <v>39</v>
      </c>
      <c r="C22" s="27"/>
      <c r="D22" s="13" t="s">
        <v>97</v>
      </c>
      <c r="E22" s="14">
        <v>9.5</v>
      </c>
      <c r="F22" s="15">
        <v>390</v>
      </c>
      <c r="G22" s="15">
        <f t="shared" si="0"/>
        <v>3705</v>
      </c>
      <c r="H22" s="23" t="s">
        <v>36</v>
      </c>
      <c r="I22" s="17">
        <f t="shared" si="1"/>
        <v>9.5</v>
      </c>
      <c r="J22" s="18"/>
      <c r="K22" s="17"/>
      <c r="L22" s="17">
        <f t="shared" si="2"/>
        <v>9.5</v>
      </c>
      <c r="M22" s="15">
        <f t="shared" si="3"/>
        <v>0</v>
      </c>
      <c r="N22" s="15">
        <f t="shared" si="4"/>
        <v>3705</v>
      </c>
      <c r="O22" s="19">
        <f t="shared" si="5"/>
        <v>0</v>
      </c>
    </row>
    <row r="23" spans="1:15" s="20" customFormat="1" ht="13" customHeight="1" x14ac:dyDescent="0.3">
      <c r="A23" s="11">
        <v>15</v>
      </c>
      <c r="B23" s="23" t="s">
        <v>49</v>
      </c>
      <c r="C23" s="27"/>
      <c r="D23" s="13" t="s">
        <v>97</v>
      </c>
      <c r="E23" s="14">
        <v>0.5</v>
      </c>
      <c r="F23" s="15">
        <v>390</v>
      </c>
      <c r="G23" s="15">
        <f t="shared" si="0"/>
        <v>195</v>
      </c>
      <c r="H23" s="16" t="s">
        <v>80</v>
      </c>
      <c r="I23" s="17">
        <f t="shared" si="1"/>
        <v>0.5</v>
      </c>
      <c r="J23" s="18"/>
      <c r="K23" s="17"/>
      <c r="L23" s="17">
        <f t="shared" si="2"/>
        <v>0.5</v>
      </c>
      <c r="M23" s="15">
        <f t="shared" si="3"/>
        <v>0</v>
      </c>
      <c r="N23" s="15">
        <f t="shared" si="4"/>
        <v>195</v>
      </c>
      <c r="O23" s="19">
        <f t="shared" si="5"/>
        <v>0</v>
      </c>
    </row>
    <row r="24" spans="1:15" s="20" customFormat="1" ht="13" customHeight="1" x14ac:dyDescent="0.3">
      <c r="A24" s="11">
        <v>16</v>
      </c>
      <c r="B24" s="22" t="s">
        <v>26</v>
      </c>
      <c r="C24" s="12"/>
      <c r="D24" s="13" t="s">
        <v>97</v>
      </c>
      <c r="E24" s="14">
        <v>9</v>
      </c>
      <c r="F24" s="15">
        <v>390</v>
      </c>
      <c r="G24" s="15">
        <f t="shared" si="0"/>
        <v>3510</v>
      </c>
      <c r="H24" s="23" t="s">
        <v>36</v>
      </c>
      <c r="I24" s="17">
        <f t="shared" si="1"/>
        <v>9</v>
      </c>
      <c r="J24" s="18"/>
      <c r="K24" s="17"/>
      <c r="L24" s="17">
        <f t="shared" si="2"/>
        <v>9</v>
      </c>
      <c r="M24" s="15">
        <f t="shared" si="3"/>
        <v>0</v>
      </c>
      <c r="N24" s="15">
        <f t="shared" si="4"/>
        <v>3510</v>
      </c>
      <c r="O24" s="19">
        <f t="shared" si="5"/>
        <v>0</v>
      </c>
    </row>
    <row r="25" spans="1:15" s="4" customFormat="1" ht="13" customHeight="1" x14ac:dyDescent="0.3">
      <c r="A25" s="28">
        <v>17</v>
      </c>
      <c r="B25" s="70" t="s">
        <v>84</v>
      </c>
      <c r="C25" s="26" t="s">
        <v>85</v>
      </c>
      <c r="D25" s="13" t="s">
        <v>98</v>
      </c>
      <c r="E25" s="14">
        <v>10</v>
      </c>
      <c r="F25" s="15">
        <v>290</v>
      </c>
      <c r="G25" s="15">
        <f t="shared" si="0"/>
        <v>2900</v>
      </c>
      <c r="H25" s="12" t="s">
        <v>37</v>
      </c>
      <c r="I25" s="17">
        <f t="shared" si="1"/>
        <v>10</v>
      </c>
      <c r="J25" s="18"/>
      <c r="K25" s="17"/>
      <c r="L25" s="17">
        <f t="shared" si="2"/>
        <v>10</v>
      </c>
      <c r="M25" s="15">
        <f t="shared" si="3"/>
        <v>0</v>
      </c>
      <c r="N25" s="15">
        <f t="shared" si="4"/>
        <v>2900</v>
      </c>
      <c r="O25" s="19">
        <f t="shared" si="5"/>
        <v>0</v>
      </c>
    </row>
    <row r="26" spans="1:15" s="4" customFormat="1" ht="13" customHeight="1" x14ac:dyDescent="0.3">
      <c r="A26" s="28">
        <v>18</v>
      </c>
      <c r="B26" s="26" t="s">
        <v>46</v>
      </c>
      <c r="C26" s="27"/>
      <c r="D26" s="13" t="s">
        <v>98</v>
      </c>
      <c r="E26" s="14">
        <v>8</v>
      </c>
      <c r="F26" s="15">
        <v>290</v>
      </c>
      <c r="G26" s="15">
        <f t="shared" si="0"/>
        <v>2320</v>
      </c>
      <c r="H26" s="12" t="s">
        <v>37</v>
      </c>
      <c r="I26" s="17">
        <f t="shared" si="1"/>
        <v>8</v>
      </c>
      <c r="J26" s="18"/>
      <c r="K26" s="17"/>
      <c r="L26" s="17">
        <f t="shared" si="2"/>
        <v>8</v>
      </c>
      <c r="M26" s="15">
        <f t="shared" si="3"/>
        <v>0</v>
      </c>
      <c r="N26" s="15">
        <f t="shared" si="4"/>
        <v>2320</v>
      </c>
      <c r="O26" s="19">
        <f t="shared" si="5"/>
        <v>0</v>
      </c>
    </row>
    <row r="27" spans="1:15" s="4" customFormat="1" ht="13" customHeight="1" x14ac:dyDescent="0.3">
      <c r="A27" s="28">
        <v>19</v>
      </c>
      <c r="B27" s="29" t="s">
        <v>47</v>
      </c>
      <c r="C27" s="27"/>
      <c r="D27" s="13" t="s">
        <v>99</v>
      </c>
      <c r="E27" s="14">
        <v>13</v>
      </c>
      <c r="F27" s="15">
        <v>240</v>
      </c>
      <c r="G27" s="15">
        <f t="shared" si="0"/>
        <v>3120</v>
      </c>
      <c r="H27" s="16" t="s">
        <v>29</v>
      </c>
      <c r="I27" s="17">
        <f t="shared" si="1"/>
        <v>13</v>
      </c>
      <c r="J27" s="18"/>
      <c r="K27" s="17"/>
      <c r="L27" s="17">
        <f t="shared" si="2"/>
        <v>13</v>
      </c>
      <c r="M27" s="15">
        <f t="shared" si="3"/>
        <v>0</v>
      </c>
      <c r="N27" s="15">
        <f t="shared" si="4"/>
        <v>3120</v>
      </c>
      <c r="O27" s="19">
        <f t="shared" si="5"/>
        <v>0</v>
      </c>
    </row>
    <row r="28" spans="1:15" s="4" customFormat="1" ht="13" customHeight="1" x14ac:dyDescent="0.3">
      <c r="A28" s="28">
        <v>20</v>
      </c>
      <c r="B28" s="23" t="s">
        <v>42</v>
      </c>
      <c r="C28" s="26" t="s">
        <v>113</v>
      </c>
      <c r="D28" s="13" t="s">
        <v>99</v>
      </c>
      <c r="E28" s="14">
        <v>11</v>
      </c>
      <c r="F28" s="15">
        <v>240</v>
      </c>
      <c r="G28" s="15">
        <f t="shared" si="0"/>
        <v>2640</v>
      </c>
      <c r="H28" s="16" t="s">
        <v>29</v>
      </c>
      <c r="I28" s="17">
        <f t="shared" si="1"/>
        <v>11</v>
      </c>
      <c r="J28" s="18"/>
      <c r="K28" s="17"/>
      <c r="L28" s="17">
        <f t="shared" si="2"/>
        <v>11</v>
      </c>
      <c r="M28" s="15">
        <f t="shared" si="3"/>
        <v>0</v>
      </c>
      <c r="N28" s="15">
        <f t="shared" si="4"/>
        <v>2640</v>
      </c>
      <c r="O28" s="19">
        <f t="shared" si="5"/>
        <v>0</v>
      </c>
    </row>
    <row r="29" spans="1:15" s="4" customFormat="1" ht="13" customHeight="1" x14ac:dyDescent="0.3">
      <c r="A29" s="28">
        <v>21</v>
      </c>
      <c r="B29" s="23" t="s">
        <v>86</v>
      </c>
      <c r="C29" s="12"/>
      <c r="D29" s="13" t="s">
        <v>99</v>
      </c>
      <c r="E29" s="14">
        <v>13</v>
      </c>
      <c r="F29" s="15">
        <v>240</v>
      </c>
      <c r="G29" s="15">
        <f t="shared" si="0"/>
        <v>3120</v>
      </c>
      <c r="H29" s="12" t="s">
        <v>37</v>
      </c>
      <c r="I29" s="17">
        <f t="shared" si="1"/>
        <v>13</v>
      </c>
      <c r="J29" s="18"/>
      <c r="K29" s="17"/>
      <c r="L29" s="17">
        <f t="shared" si="2"/>
        <v>13</v>
      </c>
      <c r="M29" s="15">
        <f t="shared" si="3"/>
        <v>0</v>
      </c>
      <c r="N29" s="15">
        <f t="shared" si="4"/>
        <v>3120</v>
      </c>
      <c r="O29" s="19">
        <f t="shared" si="5"/>
        <v>0</v>
      </c>
    </row>
    <row r="30" spans="1:15" s="4" customFormat="1" ht="13" customHeight="1" x14ac:dyDescent="0.3">
      <c r="A30" s="30">
        <v>22</v>
      </c>
      <c r="B30" s="26" t="s">
        <v>79</v>
      </c>
      <c r="C30" s="12"/>
      <c r="D30" s="13" t="s">
        <v>99</v>
      </c>
      <c r="E30" s="14">
        <v>2</v>
      </c>
      <c r="F30" s="15">
        <v>240</v>
      </c>
      <c r="G30" s="15">
        <f t="shared" si="0"/>
        <v>480</v>
      </c>
      <c r="H30" s="18" t="s">
        <v>38</v>
      </c>
      <c r="I30" s="17">
        <f t="shared" si="1"/>
        <v>2</v>
      </c>
      <c r="J30" s="18"/>
      <c r="K30" s="17"/>
      <c r="L30" s="17">
        <f t="shared" si="2"/>
        <v>2</v>
      </c>
      <c r="M30" s="15">
        <f t="shared" si="3"/>
        <v>0</v>
      </c>
      <c r="N30" s="15">
        <f t="shared" si="4"/>
        <v>480</v>
      </c>
      <c r="O30" s="19">
        <f t="shared" si="5"/>
        <v>0</v>
      </c>
    </row>
    <row r="31" spans="1:15" s="4" customFormat="1" ht="13" customHeight="1" x14ac:dyDescent="0.3">
      <c r="A31" s="30">
        <v>22</v>
      </c>
      <c r="B31" s="26" t="s">
        <v>79</v>
      </c>
      <c r="C31" s="12"/>
      <c r="D31" s="13" t="s">
        <v>99</v>
      </c>
      <c r="E31" s="14">
        <v>2</v>
      </c>
      <c r="F31" s="15">
        <v>240</v>
      </c>
      <c r="G31" s="15">
        <f t="shared" si="0"/>
        <v>480</v>
      </c>
      <c r="H31" s="16" t="s">
        <v>27</v>
      </c>
      <c r="I31" s="17">
        <f t="shared" si="1"/>
        <v>2</v>
      </c>
      <c r="J31" s="18"/>
      <c r="K31" s="17"/>
      <c r="L31" s="17">
        <f t="shared" si="2"/>
        <v>2</v>
      </c>
      <c r="M31" s="15">
        <f t="shared" si="3"/>
        <v>0</v>
      </c>
      <c r="N31" s="15">
        <f t="shared" si="4"/>
        <v>480</v>
      </c>
      <c r="O31" s="19">
        <f t="shared" si="5"/>
        <v>0</v>
      </c>
    </row>
    <row r="32" spans="1:15" s="4" customFormat="1" ht="13" customHeight="1" x14ac:dyDescent="0.3">
      <c r="A32" s="30">
        <v>22</v>
      </c>
      <c r="B32" s="26" t="s">
        <v>79</v>
      </c>
      <c r="C32" s="12"/>
      <c r="D32" s="13" t="s">
        <v>99</v>
      </c>
      <c r="E32" s="14">
        <v>3</v>
      </c>
      <c r="F32" s="15">
        <v>240</v>
      </c>
      <c r="G32" s="15">
        <f t="shared" si="0"/>
        <v>720</v>
      </c>
      <c r="H32" s="16" t="s">
        <v>29</v>
      </c>
      <c r="I32" s="17">
        <f t="shared" si="1"/>
        <v>3</v>
      </c>
      <c r="J32" s="18"/>
      <c r="K32" s="17"/>
      <c r="L32" s="17">
        <f t="shared" si="2"/>
        <v>3</v>
      </c>
      <c r="M32" s="15">
        <f t="shared" si="3"/>
        <v>0</v>
      </c>
      <c r="N32" s="15">
        <f t="shared" si="4"/>
        <v>720</v>
      </c>
      <c r="O32" s="19">
        <f t="shared" si="5"/>
        <v>0</v>
      </c>
    </row>
    <row r="33" spans="1:16" s="4" customFormat="1" ht="13" customHeight="1" x14ac:dyDescent="0.3">
      <c r="A33" s="31">
        <v>23</v>
      </c>
      <c r="B33" s="23" t="s">
        <v>81</v>
      </c>
      <c r="C33" s="12"/>
      <c r="D33" s="13" t="s">
        <v>51</v>
      </c>
      <c r="E33" s="14">
        <v>18</v>
      </c>
      <c r="F33" s="15">
        <v>360</v>
      </c>
      <c r="G33" s="15">
        <f t="shared" si="0"/>
        <v>6480</v>
      </c>
      <c r="H33" s="23" t="s">
        <v>81</v>
      </c>
      <c r="I33" s="17">
        <f t="shared" si="1"/>
        <v>18</v>
      </c>
      <c r="J33" s="18"/>
      <c r="K33" s="17"/>
      <c r="L33" s="17">
        <f t="shared" si="2"/>
        <v>18</v>
      </c>
      <c r="M33" s="15">
        <f t="shared" si="3"/>
        <v>0</v>
      </c>
      <c r="N33" s="15">
        <f t="shared" si="4"/>
        <v>6480</v>
      </c>
      <c r="O33" s="19">
        <f t="shared" si="5"/>
        <v>0</v>
      </c>
    </row>
    <row r="35" spans="1:16" ht="20.149999999999999" customHeight="1" x14ac:dyDescent="0.35">
      <c r="E35" s="32">
        <f>SUM(E5:E33)</f>
        <v>251</v>
      </c>
      <c r="G35" s="33">
        <f>SUM(G5:G33)</f>
        <v>76064</v>
      </c>
      <c r="N35" s="33">
        <f>SUM(N5:N33)</f>
        <v>76064</v>
      </c>
      <c r="O35" s="33">
        <f>SUM(O16:O34)</f>
        <v>0</v>
      </c>
      <c r="P35" s="34">
        <f>+O35+N35</f>
        <v>76064</v>
      </c>
    </row>
    <row r="36" spans="1:16" s="4" customFormat="1" ht="15" thickBot="1" x14ac:dyDescent="0.4">
      <c r="A36" s="6"/>
    </row>
    <row r="37" spans="1:16" s="4" customFormat="1" ht="15" thickBot="1" x14ac:dyDescent="0.4">
      <c r="A37" s="6"/>
      <c r="B37" s="79" t="s">
        <v>52</v>
      </c>
      <c r="C37" s="80"/>
      <c r="D37" s="81" t="s">
        <v>53</v>
      </c>
      <c r="E37" s="82"/>
      <c r="F37" s="82"/>
      <c r="G37" s="82"/>
      <c r="H37" s="83"/>
      <c r="I37" s="81">
        <v>0</v>
      </c>
      <c r="J37" s="82"/>
      <c r="K37" s="82"/>
      <c r="L37" s="82"/>
      <c r="M37" s="82"/>
      <c r="N37" s="83"/>
    </row>
    <row r="38" spans="1:16" s="4" customFormat="1" ht="19.5" customHeight="1" x14ac:dyDescent="0.35">
      <c r="A38" s="6"/>
      <c r="B38" s="38" t="s">
        <v>54</v>
      </c>
      <c r="C38" s="39">
        <v>25</v>
      </c>
      <c r="D38" s="40" t="s">
        <v>55</v>
      </c>
      <c r="E38" s="41" t="s">
        <v>56</v>
      </c>
      <c r="F38" s="41" t="s">
        <v>57</v>
      </c>
      <c r="G38" s="41" t="s">
        <v>58</v>
      </c>
      <c r="H38" s="42" t="s">
        <v>59</v>
      </c>
      <c r="I38" s="40" t="s">
        <v>56</v>
      </c>
      <c r="J38" s="41" t="s">
        <v>60</v>
      </c>
      <c r="K38" s="41" t="s">
        <v>55</v>
      </c>
      <c r="L38" s="41"/>
      <c r="M38" s="41"/>
      <c r="N38" s="42" t="s">
        <v>59</v>
      </c>
    </row>
    <row r="39" spans="1:16" s="4" customFormat="1" ht="15" thickBot="1" x14ac:dyDescent="0.35">
      <c r="A39" s="6"/>
      <c r="B39" s="43" t="s">
        <v>61</v>
      </c>
      <c r="C39" s="44">
        <v>9</v>
      </c>
      <c r="D39" s="13" t="s">
        <v>94</v>
      </c>
      <c r="E39" s="45" t="s">
        <v>100</v>
      </c>
      <c r="F39" s="34">
        <f>SUM(E5:E6)</f>
        <v>24</v>
      </c>
      <c r="G39" s="34">
        <v>310</v>
      </c>
      <c r="H39" s="19">
        <f>F39*G39</f>
        <v>7440</v>
      </c>
      <c r="I39" s="46">
        <v>1</v>
      </c>
      <c r="J39" s="16" t="s">
        <v>63</v>
      </c>
      <c r="K39" s="47" t="s">
        <v>64</v>
      </c>
      <c r="L39" s="14">
        <v>9</v>
      </c>
      <c r="M39" s="48">
        <v>550</v>
      </c>
      <c r="N39" s="49">
        <f>M39*L39</f>
        <v>4950</v>
      </c>
    </row>
    <row r="40" spans="1:16" s="4" customFormat="1" ht="15" thickBot="1" x14ac:dyDescent="0.35">
      <c r="A40" s="50"/>
      <c r="B40" s="87"/>
      <c r="C40" s="51"/>
      <c r="D40" s="13" t="s">
        <v>87</v>
      </c>
      <c r="E40" s="45" t="s">
        <v>101</v>
      </c>
      <c r="F40" s="34">
        <f>SUM(E7:E9)</f>
        <v>24</v>
      </c>
      <c r="G40" s="34">
        <v>310</v>
      </c>
      <c r="H40" s="19">
        <f t="shared" ref="H40:H50" si="6">F40*G40</f>
        <v>7440</v>
      </c>
      <c r="I40" s="46">
        <v>2</v>
      </c>
      <c r="J40" s="16" t="s">
        <v>66</v>
      </c>
      <c r="K40" s="47" t="s">
        <v>64</v>
      </c>
      <c r="L40" s="14">
        <v>9</v>
      </c>
      <c r="M40" s="48">
        <v>550</v>
      </c>
      <c r="N40" s="49">
        <f t="shared" ref="N40:N41" si="7">M40*L40</f>
        <v>4950</v>
      </c>
    </row>
    <row r="41" spans="1:16" s="4" customFormat="1" ht="12.5" customHeight="1" x14ac:dyDescent="0.3">
      <c r="A41" s="6"/>
      <c r="B41" s="84"/>
      <c r="C41" s="51"/>
      <c r="D41" s="13" t="s">
        <v>108</v>
      </c>
      <c r="E41" s="45" t="s">
        <v>102</v>
      </c>
      <c r="F41" s="34">
        <f>SUM(E11,E12,E14)</f>
        <v>14</v>
      </c>
      <c r="G41" s="34">
        <v>310</v>
      </c>
      <c r="H41" s="52">
        <f>F41*G41</f>
        <v>4340</v>
      </c>
      <c r="I41" s="46">
        <v>3</v>
      </c>
      <c r="J41" s="12" t="s">
        <v>68</v>
      </c>
      <c r="K41" s="47" t="s">
        <v>64</v>
      </c>
      <c r="L41" s="14">
        <v>9</v>
      </c>
      <c r="M41" s="48">
        <v>550</v>
      </c>
      <c r="N41" s="49">
        <f t="shared" si="7"/>
        <v>4950</v>
      </c>
    </row>
    <row r="42" spans="1:16" s="4" customFormat="1" ht="15" thickBot="1" x14ac:dyDescent="0.35">
      <c r="A42" s="6"/>
      <c r="B42" s="84"/>
      <c r="C42" s="51"/>
      <c r="D42" s="13" t="s">
        <v>95</v>
      </c>
      <c r="E42" s="45" t="s">
        <v>103</v>
      </c>
      <c r="F42" s="34">
        <f>SUM(E15:E16)</f>
        <v>24</v>
      </c>
      <c r="G42" s="34">
        <v>310</v>
      </c>
      <c r="H42" s="52">
        <f t="shared" si="6"/>
        <v>7440</v>
      </c>
      <c r="I42" s="46"/>
      <c r="J42" s="16"/>
      <c r="K42" s="47"/>
      <c r="L42" s="14"/>
      <c r="M42" s="48">
        <v>550</v>
      </c>
      <c r="N42" s="53">
        <f>M42*L42</f>
        <v>0</v>
      </c>
    </row>
    <row r="43" spans="1:16" s="4" customFormat="1" ht="12" customHeight="1" x14ac:dyDescent="0.3">
      <c r="A43" s="6"/>
      <c r="B43" s="84"/>
      <c r="D43" s="13" t="s">
        <v>34</v>
      </c>
      <c r="E43" s="45" t="s">
        <v>67</v>
      </c>
      <c r="F43" s="34">
        <f>SUM(E17:E18)</f>
        <v>11</v>
      </c>
      <c r="G43" s="34">
        <v>324</v>
      </c>
      <c r="H43" s="52">
        <f t="shared" si="6"/>
        <v>3564</v>
      </c>
      <c r="I43" s="54"/>
      <c r="J43" s="55"/>
      <c r="K43" s="56"/>
      <c r="L43" s="6"/>
      <c r="M43" s="54"/>
      <c r="N43" s="57">
        <f>N39+N41+N40</f>
        <v>14850</v>
      </c>
    </row>
    <row r="44" spans="1:16" s="4" customFormat="1" ht="12" customHeight="1" x14ac:dyDescent="0.3">
      <c r="A44" s="6"/>
      <c r="B44" s="84"/>
      <c r="D44" s="13" t="s">
        <v>96</v>
      </c>
      <c r="E44" s="45" t="s">
        <v>104</v>
      </c>
      <c r="F44" s="34">
        <f>SUM(E19:E21)</f>
        <v>44</v>
      </c>
      <c r="G44" s="34">
        <v>290</v>
      </c>
      <c r="H44" s="52">
        <f t="shared" si="6"/>
        <v>12760</v>
      </c>
      <c r="I44" s="54"/>
      <c r="J44" s="55"/>
      <c r="K44" s="56"/>
      <c r="L44" s="6"/>
      <c r="M44" s="54"/>
      <c r="N44" s="54"/>
    </row>
    <row r="45" spans="1:16" s="4" customFormat="1" ht="14" customHeight="1" thickBot="1" x14ac:dyDescent="0.35">
      <c r="A45" s="6"/>
      <c r="B45" s="84"/>
      <c r="D45" s="13" t="s">
        <v>97</v>
      </c>
      <c r="E45" s="45" t="s">
        <v>105</v>
      </c>
      <c r="F45" s="34">
        <f>SUM(E22:E24)</f>
        <v>19</v>
      </c>
      <c r="G45" s="34">
        <v>390</v>
      </c>
      <c r="H45" s="52">
        <f t="shared" si="6"/>
        <v>7410</v>
      </c>
      <c r="N45" s="58"/>
    </row>
    <row r="46" spans="1:16" s="4" customFormat="1" x14ac:dyDescent="0.3">
      <c r="A46" s="6"/>
      <c r="B46" s="84"/>
      <c r="D46" s="13" t="s">
        <v>98</v>
      </c>
      <c r="E46" s="45" t="s">
        <v>106</v>
      </c>
      <c r="F46" s="34">
        <f>SUM(E25:E26)</f>
        <v>18</v>
      </c>
      <c r="G46" s="34">
        <v>290</v>
      </c>
      <c r="H46" s="52">
        <f t="shared" si="6"/>
        <v>5220</v>
      </c>
      <c r="I46" s="35" t="s">
        <v>70</v>
      </c>
      <c r="J46" s="36"/>
      <c r="K46" s="36"/>
      <c r="L46" s="36"/>
      <c r="M46" s="36"/>
      <c r="N46" s="37"/>
    </row>
    <row r="47" spans="1:16" s="4" customFormat="1" ht="14" customHeight="1" x14ac:dyDescent="0.3">
      <c r="B47" s="84"/>
      <c r="C47" s="59"/>
      <c r="D47" s="13" t="s">
        <v>99</v>
      </c>
      <c r="E47" s="45" t="s">
        <v>109</v>
      </c>
      <c r="F47" s="34">
        <f>SUM(E27:E32)</f>
        <v>44</v>
      </c>
      <c r="G47" s="34">
        <v>240</v>
      </c>
      <c r="H47" s="52">
        <f t="shared" si="6"/>
        <v>10560</v>
      </c>
      <c r="I47" s="60" t="s">
        <v>56</v>
      </c>
      <c r="J47" s="61" t="s">
        <v>72</v>
      </c>
      <c r="K47" s="61" t="s">
        <v>55</v>
      </c>
      <c r="L47" s="61" t="s">
        <v>3</v>
      </c>
      <c r="M47" s="61" t="s">
        <v>58</v>
      </c>
      <c r="N47" s="62" t="s">
        <v>59</v>
      </c>
    </row>
    <row r="48" spans="1:16" s="4" customFormat="1" x14ac:dyDescent="0.3">
      <c r="B48" s="84"/>
      <c r="D48" s="13" t="s">
        <v>51</v>
      </c>
      <c r="E48" s="45" t="s">
        <v>71</v>
      </c>
      <c r="F48" s="34">
        <f>SUM(E33)</f>
        <v>18</v>
      </c>
      <c r="G48" s="34">
        <v>360</v>
      </c>
      <c r="H48" s="52">
        <f t="shared" si="6"/>
        <v>6480</v>
      </c>
      <c r="I48" s="63">
        <v>1</v>
      </c>
      <c r="J48" s="64" t="s">
        <v>73</v>
      </c>
      <c r="K48" s="48" t="s">
        <v>74</v>
      </c>
      <c r="L48" s="34">
        <v>24</v>
      </c>
      <c r="M48" s="48">
        <v>1000</v>
      </c>
      <c r="N48" s="49">
        <f t="shared" ref="N48:N49" si="8">L48*M48</f>
        <v>24000</v>
      </c>
    </row>
    <row r="49" spans="1:14" s="4" customFormat="1" x14ac:dyDescent="0.3">
      <c r="B49" s="84"/>
      <c r="D49" s="13" t="s">
        <v>89</v>
      </c>
      <c r="E49" s="45" t="s">
        <v>102</v>
      </c>
      <c r="F49" s="34">
        <f>SUM(E10,E13)</f>
        <v>11</v>
      </c>
      <c r="G49" s="34">
        <v>310</v>
      </c>
      <c r="H49" s="52">
        <f t="shared" si="6"/>
        <v>3410</v>
      </c>
      <c r="I49" s="46">
        <v>2</v>
      </c>
      <c r="J49" s="64" t="s">
        <v>75</v>
      </c>
      <c r="K49" s="48" t="s">
        <v>74</v>
      </c>
      <c r="L49" s="34">
        <v>31</v>
      </c>
      <c r="M49" s="48">
        <v>1000</v>
      </c>
      <c r="N49" s="49">
        <f t="shared" si="8"/>
        <v>31000</v>
      </c>
    </row>
    <row r="50" spans="1:14" s="4" customFormat="1" ht="15" thickBot="1" x14ac:dyDescent="0.35">
      <c r="B50" s="84"/>
      <c r="D50" s="13"/>
      <c r="E50" s="45"/>
      <c r="F50" s="34"/>
      <c r="G50" s="34"/>
      <c r="H50" s="52">
        <f t="shared" si="6"/>
        <v>0</v>
      </c>
      <c r="I50" s="46">
        <v>3</v>
      </c>
      <c r="J50" s="65" t="s">
        <v>76</v>
      </c>
      <c r="K50" s="48" t="s">
        <v>74</v>
      </c>
      <c r="L50" s="34"/>
      <c r="M50" s="48">
        <v>1000</v>
      </c>
      <c r="N50" s="49">
        <f>L50*M50</f>
        <v>0</v>
      </c>
    </row>
    <row r="51" spans="1:14" s="4" customFormat="1" x14ac:dyDescent="0.35">
      <c r="E51" s="85" t="s">
        <v>59</v>
      </c>
      <c r="F51" s="86"/>
      <c r="G51" s="66">
        <f>SUM(F39:F50)</f>
        <v>251</v>
      </c>
      <c r="H51" s="33">
        <f>SUM(H39:H50)</f>
        <v>76064</v>
      </c>
      <c r="L51" s="4">
        <f>SUM(L48:L50)</f>
        <v>55</v>
      </c>
      <c r="M51" s="57"/>
      <c r="N51" s="67">
        <f>SUM(N48:N50)</f>
        <v>55000</v>
      </c>
    </row>
    <row r="52" spans="1:14" s="4" customFormat="1" x14ac:dyDescent="0.35"/>
    <row r="53" spans="1:14" s="4" customFormat="1" ht="8" customHeight="1" x14ac:dyDescent="0.35"/>
    <row r="54" spans="1:14" s="4" customFormat="1" ht="8.5" customHeight="1" x14ac:dyDescent="0.35"/>
    <row r="55" spans="1:14" s="4" customFormat="1" ht="8" customHeight="1" x14ac:dyDescent="0.25">
      <c r="G55" s="68"/>
    </row>
    <row r="56" spans="1:14" s="4" customFormat="1" ht="15" thickBot="1" x14ac:dyDescent="0.4">
      <c r="C56" s="77"/>
      <c r="D56" s="77"/>
      <c r="I56" s="77"/>
      <c r="J56" s="77"/>
    </row>
    <row r="57" spans="1:14" s="4" customFormat="1" x14ac:dyDescent="0.35">
      <c r="C57" s="78" t="s">
        <v>77</v>
      </c>
      <c r="D57" s="78"/>
      <c r="I57" s="78" t="s">
        <v>78</v>
      </c>
      <c r="J57" s="78"/>
    </row>
    <row r="58" spans="1:14" s="4" customFormat="1" x14ac:dyDescent="0.35"/>
    <row r="63" spans="1:14" s="4" customFormat="1" x14ac:dyDescent="0.35">
      <c r="A63" s="6"/>
      <c r="G63" s="69"/>
    </row>
    <row r="64" spans="1:14" s="4" customFormat="1" x14ac:dyDescent="0.35">
      <c r="A64" s="6"/>
      <c r="E64" s="6"/>
      <c r="G64" s="69"/>
    </row>
    <row r="65" spans="1:7" s="4" customFormat="1" x14ac:dyDescent="0.35">
      <c r="A65" s="6"/>
      <c r="G65" s="69"/>
    </row>
    <row r="66" spans="1:7" s="4" customFormat="1" x14ac:dyDescent="0.35">
      <c r="A66" s="6"/>
      <c r="G66" s="69"/>
    </row>
    <row r="67" spans="1:7" s="4" customFormat="1" x14ac:dyDescent="0.35">
      <c r="A67" s="6"/>
      <c r="G67" s="69"/>
    </row>
    <row r="68" spans="1:7" s="4" customFormat="1" x14ac:dyDescent="0.35">
      <c r="A68" s="6"/>
      <c r="G68" s="69"/>
    </row>
  </sheetData>
  <mergeCells count="10">
    <mergeCell ref="C56:D56"/>
    <mergeCell ref="I56:J56"/>
    <mergeCell ref="C57:D57"/>
    <mergeCell ref="I57:J57"/>
    <mergeCell ref="D1:F1"/>
    <mergeCell ref="B37:C37"/>
    <mergeCell ref="D37:H37"/>
    <mergeCell ref="I37:N37"/>
    <mergeCell ref="B40:B50"/>
    <mergeCell ref="E51:F51"/>
  </mergeCells>
  <conditionalFormatting sqref="P35">
    <cfRule type="cellIs" dxfId="11" priority="1" operator="lessThan">
      <formula>$G$35</formula>
    </cfRule>
    <cfRule type="cellIs" dxfId="10" priority="2" operator="greaterThan">
      <formula>$G$35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F5C3-1365-4A06-9CA5-F916538231DF}">
  <dimension ref="A1:P69"/>
  <sheetViews>
    <sheetView topLeftCell="A18" zoomScale="106" zoomScaleNormal="106" workbookViewId="0">
      <selection activeCell="H23" sqref="H23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46153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94</v>
      </c>
      <c r="E5" s="14">
        <v>12</v>
      </c>
      <c r="F5" s="15">
        <v>310</v>
      </c>
      <c r="G5" s="15">
        <f t="shared" ref="G5:G32" si="0">+E5*F5</f>
        <v>3720</v>
      </c>
      <c r="H5" s="16" t="s">
        <v>22</v>
      </c>
      <c r="I5" s="17">
        <f t="shared" ref="I5:I32" si="1">E5</f>
        <v>12</v>
      </c>
      <c r="J5" s="18"/>
      <c r="K5" s="17"/>
      <c r="L5" s="17">
        <f t="shared" ref="L5:L32" si="2">E5</f>
        <v>12</v>
      </c>
      <c r="M5" s="15">
        <f t="shared" ref="M5:M32" si="3">E5-L5</f>
        <v>0</v>
      </c>
      <c r="N5" s="15">
        <f t="shared" ref="N5:N32" si="4">E5*F5</f>
        <v>3720</v>
      </c>
      <c r="O5" s="19">
        <f t="shared" ref="O5:O32" si="5">+K5*F5</f>
        <v>0</v>
      </c>
    </row>
    <row r="6" spans="1:15" s="20" customFormat="1" ht="14.5" customHeight="1" x14ac:dyDescent="0.3">
      <c r="A6" s="11">
        <v>2</v>
      </c>
      <c r="B6" s="23" t="s">
        <v>45</v>
      </c>
      <c r="C6" s="12"/>
      <c r="D6" s="13" t="s">
        <v>94</v>
      </c>
      <c r="E6" s="14">
        <v>12</v>
      </c>
      <c r="F6" s="15">
        <v>310</v>
      </c>
      <c r="G6" s="15">
        <f t="shared" si="0"/>
        <v>3720</v>
      </c>
      <c r="H6" s="16" t="s">
        <v>22</v>
      </c>
      <c r="I6" s="17">
        <f t="shared" si="1"/>
        <v>12</v>
      </c>
      <c r="J6" s="18"/>
      <c r="K6" s="17"/>
      <c r="L6" s="17">
        <f t="shared" si="2"/>
        <v>12</v>
      </c>
      <c r="M6" s="15">
        <f t="shared" si="3"/>
        <v>0</v>
      </c>
      <c r="N6" s="15">
        <f t="shared" si="4"/>
        <v>3720</v>
      </c>
      <c r="O6" s="19">
        <f t="shared" si="5"/>
        <v>0</v>
      </c>
    </row>
    <row r="7" spans="1:15" s="20" customFormat="1" ht="14.5" customHeight="1" x14ac:dyDescent="0.3">
      <c r="A7" s="11">
        <v>3</v>
      </c>
      <c r="B7" s="21" t="s">
        <v>24</v>
      </c>
      <c r="C7" s="12"/>
      <c r="D7" s="13" t="s">
        <v>87</v>
      </c>
      <c r="E7" s="14">
        <v>12</v>
      </c>
      <c r="F7" s="15">
        <v>310</v>
      </c>
      <c r="G7" s="15">
        <f t="shared" si="0"/>
        <v>3720</v>
      </c>
      <c r="H7" s="18" t="s">
        <v>38</v>
      </c>
      <c r="I7" s="17">
        <f t="shared" si="1"/>
        <v>12</v>
      </c>
      <c r="J7" s="18"/>
      <c r="K7" s="17"/>
      <c r="L7" s="17">
        <f t="shared" si="2"/>
        <v>12</v>
      </c>
      <c r="M7" s="15">
        <f t="shared" si="3"/>
        <v>0</v>
      </c>
      <c r="N7" s="15">
        <f t="shared" si="4"/>
        <v>3720</v>
      </c>
      <c r="O7" s="19">
        <f t="shared" si="5"/>
        <v>0</v>
      </c>
    </row>
    <row r="8" spans="1:15" s="20" customFormat="1" ht="14.5" customHeight="1" x14ac:dyDescent="0.3">
      <c r="A8" s="11">
        <v>3</v>
      </c>
      <c r="B8" s="22" t="s">
        <v>26</v>
      </c>
      <c r="C8" s="12"/>
      <c r="D8" s="13" t="s">
        <v>87</v>
      </c>
      <c r="E8" s="14">
        <v>2</v>
      </c>
      <c r="F8" s="15">
        <v>310</v>
      </c>
      <c r="G8" s="15">
        <f t="shared" si="0"/>
        <v>620</v>
      </c>
      <c r="H8" s="23" t="s">
        <v>36</v>
      </c>
      <c r="I8" s="17">
        <f t="shared" si="1"/>
        <v>2</v>
      </c>
      <c r="J8" s="18"/>
      <c r="K8" s="17"/>
      <c r="L8" s="17">
        <f t="shared" si="2"/>
        <v>2</v>
      </c>
      <c r="M8" s="15">
        <f t="shared" si="3"/>
        <v>0</v>
      </c>
      <c r="N8" s="15">
        <f t="shared" si="4"/>
        <v>620</v>
      </c>
      <c r="O8" s="19">
        <f t="shared" si="5"/>
        <v>0</v>
      </c>
    </row>
    <row r="9" spans="1:15" s="20" customFormat="1" ht="14.5" customHeight="1" x14ac:dyDescent="0.3">
      <c r="A9" s="11">
        <v>4</v>
      </c>
      <c r="B9" s="23" t="s">
        <v>41</v>
      </c>
      <c r="C9" s="12"/>
      <c r="D9" s="13" t="s">
        <v>87</v>
      </c>
      <c r="E9" s="14">
        <v>12</v>
      </c>
      <c r="F9" s="15">
        <v>310</v>
      </c>
      <c r="G9" s="15">
        <f t="shared" si="0"/>
        <v>3720</v>
      </c>
      <c r="H9" s="18" t="s">
        <v>38</v>
      </c>
      <c r="I9" s="17">
        <f t="shared" si="1"/>
        <v>12</v>
      </c>
      <c r="J9" s="18"/>
      <c r="K9" s="17"/>
      <c r="L9" s="17">
        <f t="shared" si="2"/>
        <v>12</v>
      </c>
      <c r="M9" s="15">
        <f t="shared" si="3"/>
        <v>0</v>
      </c>
      <c r="N9" s="15">
        <f t="shared" si="4"/>
        <v>3720</v>
      </c>
      <c r="O9" s="19">
        <f t="shared" si="5"/>
        <v>0</v>
      </c>
    </row>
    <row r="10" spans="1:15" s="20" customFormat="1" ht="14.5" customHeight="1" x14ac:dyDescent="0.3">
      <c r="A10" s="11">
        <v>5</v>
      </c>
      <c r="B10" s="16" t="s">
        <v>23</v>
      </c>
      <c r="C10" s="12"/>
      <c r="D10" s="13" t="s">
        <v>108</v>
      </c>
      <c r="E10" s="14">
        <v>13</v>
      </c>
      <c r="F10" s="15">
        <v>310</v>
      </c>
      <c r="G10" s="15">
        <f t="shared" si="0"/>
        <v>4030</v>
      </c>
      <c r="H10" s="16" t="s">
        <v>27</v>
      </c>
      <c r="I10" s="17">
        <f t="shared" si="1"/>
        <v>13</v>
      </c>
      <c r="J10" s="18"/>
      <c r="K10" s="17"/>
      <c r="L10" s="17">
        <f t="shared" si="2"/>
        <v>13</v>
      </c>
      <c r="M10" s="15">
        <f t="shared" si="3"/>
        <v>0</v>
      </c>
      <c r="N10" s="15">
        <f t="shared" si="4"/>
        <v>4030</v>
      </c>
      <c r="O10" s="19">
        <f t="shared" si="5"/>
        <v>0</v>
      </c>
    </row>
    <row r="11" spans="1:15" s="20" customFormat="1" ht="14.5" customHeight="1" x14ac:dyDescent="0.3">
      <c r="A11" s="11">
        <v>6</v>
      </c>
      <c r="B11" s="70" t="s">
        <v>82</v>
      </c>
      <c r="C11" s="12"/>
      <c r="D11" s="13" t="s">
        <v>108</v>
      </c>
      <c r="E11" s="14">
        <v>7</v>
      </c>
      <c r="F11" s="15">
        <v>310</v>
      </c>
      <c r="G11" s="15">
        <f t="shared" si="0"/>
        <v>2170</v>
      </c>
      <c r="H11" s="12" t="s">
        <v>25</v>
      </c>
      <c r="I11" s="17">
        <f t="shared" si="1"/>
        <v>7</v>
      </c>
      <c r="J11" s="18"/>
      <c r="K11" s="17"/>
      <c r="L11" s="17">
        <f t="shared" ref="L11:L30" si="6">E11</f>
        <v>7</v>
      </c>
      <c r="M11" s="15">
        <f t="shared" ref="M11:M30" si="7">E11-L11</f>
        <v>0</v>
      </c>
      <c r="N11" s="15">
        <f t="shared" ref="N11:N30" si="8">E11*F11</f>
        <v>2170</v>
      </c>
      <c r="O11" s="19">
        <f t="shared" ref="O11:O30" si="9">+K11*F11</f>
        <v>0</v>
      </c>
    </row>
    <row r="12" spans="1:15" s="20" customFormat="1" ht="14.5" customHeight="1" x14ac:dyDescent="0.3">
      <c r="A12" s="11">
        <v>6</v>
      </c>
      <c r="B12" s="70" t="s">
        <v>82</v>
      </c>
      <c r="C12" s="12"/>
      <c r="D12" s="13" t="s">
        <v>108</v>
      </c>
      <c r="E12" s="14">
        <v>2</v>
      </c>
      <c r="F12" s="15">
        <v>310</v>
      </c>
      <c r="G12" s="15">
        <f t="shared" si="0"/>
        <v>620</v>
      </c>
      <c r="H12" s="16" t="s">
        <v>29</v>
      </c>
      <c r="I12" s="17">
        <f t="shared" si="1"/>
        <v>2</v>
      </c>
      <c r="J12" s="18"/>
      <c r="K12" s="17"/>
      <c r="L12" s="17">
        <f t="shared" si="6"/>
        <v>2</v>
      </c>
      <c r="M12" s="15">
        <f t="shared" si="7"/>
        <v>0</v>
      </c>
      <c r="N12" s="15">
        <f t="shared" si="8"/>
        <v>620</v>
      </c>
      <c r="O12" s="19">
        <f t="shared" si="9"/>
        <v>0</v>
      </c>
    </row>
    <row r="13" spans="1:15" s="20" customFormat="1" ht="14.5" customHeight="1" x14ac:dyDescent="0.3">
      <c r="A13" s="11">
        <v>7</v>
      </c>
      <c r="B13" s="23" t="s">
        <v>32</v>
      </c>
      <c r="C13" s="12"/>
      <c r="D13" s="13" t="s">
        <v>95</v>
      </c>
      <c r="E13" s="14">
        <v>10</v>
      </c>
      <c r="F13" s="15">
        <v>310</v>
      </c>
      <c r="G13" s="15">
        <f t="shared" si="0"/>
        <v>3100</v>
      </c>
      <c r="H13" s="16" t="s">
        <v>27</v>
      </c>
      <c r="I13" s="17">
        <f t="shared" si="1"/>
        <v>10</v>
      </c>
      <c r="J13" s="18"/>
      <c r="K13" s="17"/>
      <c r="L13" s="17">
        <f t="shared" si="6"/>
        <v>10</v>
      </c>
      <c r="M13" s="15">
        <f t="shared" si="7"/>
        <v>0</v>
      </c>
      <c r="N13" s="15">
        <f t="shared" si="8"/>
        <v>3100</v>
      </c>
      <c r="O13" s="19">
        <f t="shared" si="9"/>
        <v>0</v>
      </c>
    </row>
    <row r="14" spans="1:15" s="24" customFormat="1" ht="14.5" customHeight="1" x14ac:dyDescent="0.3">
      <c r="A14" s="11">
        <v>8</v>
      </c>
      <c r="B14" s="12" t="s">
        <v>28</v>
      </c>
      <c r="C14" s="12"/>
      <c r="D14" s="13" t="s">
        <v>95</v>
      </c>
      <c r="E14" s="14">
        <v>12</v>
      </c>
      <c r="F14" s="15">
        <v>310</v>
      </c>
      <c r="G14" s="15">
        <f t="shared" si="0"/>
        <v>3720</v>
      </c>
      <c r="H14" s="12" t="s">
        <v>25</v>
      </c>
      <c r="I14" s="17">
        <f t="shared" si="1"/>
        <v>12</v>
      </c>
      <c r="J14" s="18"/>
      <c r="K14" s="17"/>
      <c r="L14" s="17">
        <f t="shared" si="6"/>
        <v>12</v>
      </c>
      <c r="M14" s="15">
        <f t="shared" si="7"/>
        <v>0</v>
      </c>
      <c r="N14" s="15">
        <f t="shared" si="8"/>
        <v>3720</v>
      </c>
      <c r="O14" s="19">
        <f t="shared" si="9"/>
        <v>0</v>
      </c>
    </row>
    <row r="15" spans="1:15" s="24" customFormat="1" ht="14.5" customHeight="1" x14ac:dyDescent="0.3">
      <c r="A15" s="11">
        <v>9</v>
      </c>
      <c r="B15" s="70" t="s">
        <v>84</v>
      </c>
      <c r="C15" s="12"/>
      <c r="D15" s="13" t="s">
        <v>34</v>
      </c>
      <c r="E15" s="14">
        <v>5</v>
      </c>
      <c r="F15" s="15">
        <v>324</v>
      </c>
      <c r="G15" s="15">
        <f t="shared" si="0"/>
        <v>1620</v>
      </c>
      <c r="H15" s="12" t="s">
        <v>25</v>
      </c>
      <c r="I15" s="17">
        <f t="shared" si="1"/>
        <v>5</v>
      </c>
      <c r="J15" s="18"/>
      <c r="K15" s="17"/>
      <c r="L15" s="17">
        <f t="shared" si="6"/>
        <v>5</v>
      </c>
      <c r="M15" s="15">
        <f t="shared" si="7"/>
        <v>0</v>
      </c>
      <c r="N15" s="15">
        <f t="shared" si="8"/>
        <v>1620</v>
      </c>
      <c r="O15" s="19">
        <f t="shared" si="9"/>
        <v>0</v>
      </c>
    </row>
    <row r="16" spans="1:15" s="24" customFormat="1" ht="14.5" customHeight="1" x14ac:dyDescent="0.3">
      <c r="A16" s="11">
        <v>10</v>
      </c>
      <c r="B16" s="26" t="s">
        <v>35</v>
      </c>
      <c r="C16" s="12"/>
      <c r="D16" s="13" t="s">
        <v>34</v>
      </c>
      <c r="E16" s="14">
        <v>1</v>
      </c>
      <c r="F16" s="15">
        <v>324</v>
      </c>
      <c r="G16" s="15">
        <f t="shared" si="0"/>
        <v>324</v>
      </c>
      <c r="H16" s="12" t="s">
        <v>25</v>
      </c>
      <c r="I16" s="17">
        <f t="shared" si="1"/>
        <v>1</v>
      </c>
      <c r="J16" s="18"/>
      <c r="K16" s="17"/>
      <c r="L16" s="17">
        <f t="shared" si="6"/>
        <v>1</v>
      </c>
      <c r="M16" s="15">
        <f t="shared" si="7"/>
        <v>0</v>
      </c>
      <c r="N16" s="15">
        <f t="shared" si="8"/>
        <v>324</v>
      </c>
      <c r="O16" s="19">
        <f t="shared" si="9"/>
        <v>0</v>
      </c>
    </row>
    <row r="17" spans="1:15" s="24" customFormat="1" ht="14.5" customHeight="1" x14ac:dyDescent="0.3">
      <c r="A17" s="11">
        <v>11</v>
      </c>
      <c r="B17" s="12" t="s">
        <v>30</v>
      </c>
      <c r="C17" s="12"/>
      <c r="D17" s="13" t="s">
        <v>96</v>
      </c>
      <c r="E17" s="14">
        <v>3</v>
      </c>
      <c r="F17" s="15">
        <v>290</v>
      </c>
      <c r="G17" s="15">
        <f t="shared" si="0"/>
        <v>870</v>
      </c>
      <c r="H17" s="23" t="s">
        <v>114</v>
      </c>
      <c r="I17" s="17">
        <f t="shared" si="1"/>
        <v>3</v>
      </c>
      <c r="J17" s="18"/>
      <c r="K17" s="17"/>
      <c r="L17" s="17">
        <f t="shared" si="6"/>
        <v>3</v>
      </c>
      <c r="M17" s="15">
        <f t="shared" si="7"/>
        <v>0</v>
      </c>
      <c r="N17" s="15">
        <f t="shared" si="8"/>
        <v>870</v>
      </c>
      <c r="O17" s="19">
        <f t="shared" si="9"/>
        <v>0</v>
      </c>
    </row>
    <row r="18" spans="1:15" s="24" customFormat="1" ht="14.5" customHeight="1" x14ac:dyDescent="0.3">
      <c r="A18" s="11">
        <v>11</v>
      </c>
      <c r="B18" s="12" t="s">
        <v>30</v>
      </c>
      <c r="C18" s="12"/>
      <c r="D18" s="13" t="s">
        <v>115</v>
      </c>
      <c r="E18" s="14">
        <v>13</v>
      </c>
      <c r="F18" s="15">
        <v>330</v>
      </c>
      <c r="G18" s="15">
        <f t="shared" si="0"/>
        <v>4290</v>
      </c>
      <c r="H18" s="23" t="s">
        <v>114</v>
      </c>
      <c r="I18" s="17">
        <f t="shared" si="1"/>
        <v>13</v>
      </c>
      <c r="J18" s="18"/>
      <c r="K18" s="17"/>
      <c r="L18" s="17">
        <f t="shared" si="6"/>
        <v>13</v>
      </c>
      <c r="M18" s="15">
        <f t="shared" si="7"/>
        <v>0</v>
      </c>
      <c r="N18" s="15">
        <f t="shared" si="8"/>
        <v>4290</v>
      </c>
      <c r="O18" s="19">
        <f t="shared" si="9"/>
        <v>0</v>
      </c>
    </row>
    <row r="19" spans="1:15" s="24" customFormat="1" ht="14.5" customHeight="1" x14ac:dyDescent="0.3">
      <c r="A19" s="11">
        <v>12</v>
      </c>
      <c r="B19" s="12" t="s">
        <v>44</v>
      </c>
      <c r="C19" s="12"/>
      <c r="D19" s="13" t="s">
        <v>115</v>
      </c>
      <c r="E19" s="14">
        <v>11</v>
      </c>
      <c r="F19" s="15">
        <v>330</v>
      </c>
      <c r="G19" s="15">
        <f t="shared" si="0"/>
        <v>3630</v>
      </c>
      <c r="H19" s="23" t="s">
        <v>114</v>
      </c>
      <c r="I19" s="17">
        <f t="shared" si="1"/>
        <v>11</v>
      </c>
      <c r="J19" s="18"/>
      <c r="K19" s="17"/>
      <c r="L19" s="17">
        <f t="shared" si="6"/>
        <v>11</v>
      </c>
      <c r="M19" s="15">
        <f t="shared" si="7"/>
        <v>0</v>
      </c>
      <c r="N19" s="15">
        <f t="shared" si="8"/>
        <v>3630</v>
      </c>
      <c r="O19" s="19">
        <f t="shared" si="9"/>
        <v>0</v>
      </c>
    </row>
    <row r="20" spans="1:15" s="24" customFormat="1" ht="14.5" customHeight="1" x14ac:dyDescent="0.3">
      <c r="A20" s="11">
        <v>13</v>
      </c>
      <c r="B20" s="23" t="s">
        <v>49</v>
      </c>
      <c r="C20" s="12"/>
      <c r="D20" s="13" t="s">
        <v>115</v>
      </c>
      <c r="E20" s="14">
        <v>12</v>
      </c>
      <c r="F20" s="15">
        <v>330</v>
      </c>
      <c r="G20" s="15">
        <f t="shared" si="0"/>
        <v>3960</v>
      </c>
      <c r="H20" s="16" t="s">
        <v>80</v>
      </c>
      <c r="I20" s="17">
        <f t="shared" si="1"/>
        <v>12</v>
      </c>
      <c r="J20" s="18"/>
      <c r="K20" s="17"/>
      <c r="L20" s="17">
        <f t="shared" si="6"/>
        <v>12</v>
      </c>
      <c r="M20" s="15">
        <f t="shared" si="7"/>
        <v>0</v>
      </c>
      <c r="N20" s="15">
        <f t="shared" si="8"/>
        <v>3960</v>
      </c>
      <c r="O20" s="19">
        <f t="shared" si="9"/>
        <v>0</v>
      </c>
    </row>
    <row r="21" spans="1:15" s="24" customFormat="1" ht="14.5" customHeight="1" x14ac:dyDescent="0.3">
      <c r="A21" s="11">
        <v>13</v>
      </c>
      <c r="B21" s="16" t="s">
        <v>23</v>
      </c>
      <c r="C21" s="27"/>
      <c r="D21" s="13" t="s">
        <v>115</v>
      </c>
      <c r="E21" s="14">
        <v>0.5</v>
      </c>
      <c r="F21" s="15">
        <v>330</v>
      </c>
      <c r="G21" s="15">
        <f t="shared" si="0"/>
        <v>165</v>
      </c>
      <c r="H21" s="16" t="s">
        <v>80</v>
      </c>
      <c r="I21" s="17">
        <f t="shared" si="1"/>
        <v>0.5</v>
      </c>
      <c r="J21" s="18"/>
      <c r="K21" s="17"/>
      <c r="L21" s="17">
        <f t="shared" si="6"/>
        <v>0.5</v>
      </c>
      <c r="M21" s="15">
        <f t="shared" si="7"/>
        <v>0</v>
      </c>
      <c r="N21" s="15">
        <f t="shared" si="8"/>
        <v>165</v>
      </c>
      <c r="O21" s="19">
        <f t="shared" si="9"/>
        <v>0</v>
      </c>
    </row>
    <row r="22" spans="1:15" s="24" customFormat="1" ht="14.5" customHeight="1" x14ac:dyDescent="0.3">
      <c r="A22" s="11">
        <v>14</v>
      </c>
      <c r="B22" s="12" t="s">
        <v>48</v>
      </c>
      <c r="C22" s="27"/>
      <c r="D22" s="13" t="s">
        <v>115</v>
      </c>
      <c r="E22" s="14">
        <v>11.5</v>
      </c>
      <c r="F22" s="15">
        <v>330</v>
      </c>
      <c r="G22" s="15">
        <f t="shared" si="0"/>
        <v>3795</v>
      </c>
      <c r="H22" s="16" t="s">
        <v>80</v>
      </c>
      <c r="I22" s="17">
        <f t="shared" si="1"/>
        <v>11.5</v>
      </c>
      <c r="J22" s="18"/>
      <c r="K22" s="17"/>
      <c r="L22" s="17">
        <f t="shared" si="6"/>
        <v>11.5</v>
      </c>
      <c r="M22" s="15">
        <f t="shared" si="7"/>
        <v>0</v>
      </c>
      <c r="N22" s="15">
        <f t="shared" si="8"/>
        <v>3795</v>
      </c>
      <c r="O22" s="19">
        <f t="shared" si="9"/>
        <v>0</v>
      </c>
    </row>
    <row r="23" spans="1:15" s="20" customFormat="1" ht="13" customHeight="1" x14ac:dyDescent="0.3">
      <c r="A23" s="11">
        <v>15</v>
      </c>
      <c r="B23" s="12" t="s">
        <v>39</v>
      </c>
      <c r="C23" s="27"/>
      <c r="D23" s="13" t="s">
        <v>97</v>
      </c>
      <c r="E23" s="14">
        <v>9.5</v>
      </c>
      <c r="F23" s="15">
        <v>390</v>
      </c>
      <c r="G23" s="15">
        <f t="shared" si="0"/>
        <v>3705</v>
      </c>
      <c r="H23" s="23" t="s">
        <v>36</v>
      </c>
      <c r="I23" s="17">
        <f t="shared" si="1"/>
        <v>9.5</v>
      </c>
      <c r="J23" s="18"/>
      <c r="K23" s="17"/>
      <c r="L23" s="17">
        <f t="shared" si="6"/>
        <v>9.5</v>
      </c>
      <c r="M23" s="15">
        <f t="shared" si="7"/>
        <v>0</v>
      </c>
      <c r="N23" s="15">
        <f t="shared" si="8"/>
        <v>3705</v>
      </c>
      <c r="O23" s="19">
        <f t="shared" si="9"/>
        <v>0</v>
      </c>
    </row>
    <row r="24" spans="1:15" s="20" customFormat="1" ht="13" customHeight="1" x14ac:dyDescent="0.3">
      <c r="A24" s="11">
        <v>15</v>
      </c>
      <c r="B24" s="23" t="s">
        <v>49</v>
      </c>
      <c r="C24" s="27"/>
      <c r="D24" s="13" t="s">
        <v>97</v>
      </c>
      <c r="E24" s="14">
        <v>0.5</v>
      </c>
      <c r="F24" s="15">
        <v>390</v>
      </c>
      <c r="G24" s="15">
        <f t="shared" si="0"/>
        <v>195</v>
      </c>
      <c r="H24" s="16" t="s">
        <v>80</v>
      </c>
      <c r="I24" s="17">
        <f t="shared" si="1"/>
        <v>0.5</v>
      </c>
      <c r="J24" s="18"/>
      <c r="K24" s="17"/>
      <c r="L24" s="17">
        <f t="shared" si="6"/>
        <v>0.5</v>
      </c>
      <c r="M24" s="15">
        <f t="shared" si="7"/>
        <v>0</v>
      </c>
      <c r="N24" s="15">
        <f t="shared" si="8"/>
        <v>195</v>
      </c>
      <c r="O24" s="19">
        <f t="shared" si="9"/>
        <v>0</v>
      </c>
    </row>
    <row r="25" spans="1:15" s="20" customFormat="1" ht="13" customHeight="1" x14ac:dyDescent="0.3">
      <c r="A25" s="11">
        <v>16</v>
      </c>
      <c r="B25" s="22" t="s">
        <v>26</v>
      </c>
      <c r="C25" s="12"/>
      <c r="D25" s="13" t="s">
        <v>97</v>
      </c>
      <c r="E25" s="14">
        <v>8</v>
      </c>
      <c r="F25" s="15">
        <v>390</v>
      </c>
      <c r="G25" s="15">
        <f t="shared" si="0"/>
        <v>3120</v>
      </c>
      <c r="H25" s="23" t="s">
        <v>36</v>
      </c>
      <c r="I25" s="17">
        <f t="shared" si="1"/>
        <v>8</v>
      </c>
      <c r="J25" s="18"/>
      <c r="K25" s="17"/>
      <c r="L25" s="17">
        <f t="shared" si="6"/>
        <v>8</v>
      </c>
      <c r="M25" s="15">
        <f t="shared" si="7"/>
        <v>0</v>
      </c>
      <c r="N25" s="15">
        <f t="shared" si="8"/>
        <v>3120</v>
      </c>
      <c r="O25" s="19">
        <f t="shared" si="9"/>
        <v>0</v>
      </c>
    </row>
    <row r="26" spans="1:15" s="4" customFormat="1" ht="13" customHeight="1" x14ac:dyDescent="0.3">
      <c r="A26" s="28">
        <v>17</v>
      </c>
      <c r="B26" s="26" t="s">
        <v>85</v>
      </c>
      <c r="C26" s="12"/>
      <c r="D26" s="13" t="s">
        <v>98</v>
      </c>
      <c r="E26" s="14">
        <v>6</v>
      </c>
      <c r="F26" s="15">
        <v>290</v>
      </c>
      <c r="G26" s="15">
        <f t="shared" si="0"/>
        <v>1740</v>
      </c>
      <c r="H26" s="12" t="s">
        <v>37</v>
      </c>
      <c r="I26" s="17">
        <f t="shared" si="1"/>
        <v>6</v>
      </c>
      <c r="J26" s="18"/>
      <c r="K26" s="17"/>
      <c r="L26" s="17">
        <f t="shared" si="6"/>
        <v>6</v>
      </c>
      <c r="M26" s="15">
        <f t="shared" si="7"/>
        <v>0</v>
      </c>
      <c r="N26" s="15">
        <f t="shared" si="8"/>
        <v>1740</v>
      </c>
      <c r="O26" s="19">
        <f t="shared" si="9"/>
        <v>0</v>
      </c>
    </row>
    <row r="27" spans="1:15" s="4" customFormat="1" ht="13" customHeight="1" x14ac:dyDescent="0.3">
      <c r="A27" s="28">
        <v>18</v>
      </c>
      <c r="B27" s="26" t="s">
        <v>46</v>
      </c>
      <c r="C27" s="27"/>
      <c r="D27" s="13" t="s">
        <v>98</v>
      </c>
      <c r="E27" s="14">
        <v>8</v>
      </c>
      <c r="F27" s="15">
        <v>290</v>
      </c>
      <c r="G27" s="15">
        <f t="shared" si="0"/>
        <v>2320</v>
      </c>
      <c r="H27" s="12" t="s">
        <v>37</v>
      </c>
      <c r="I27" s="17">
        <f t="shared" si="1"/>
        <v>8</v>
      </c>
      <c r="J27" s="18"/>
      <c r="K27" s="17"/>
      <c r="L27" s="17">
        <f t="shared" si="6"/>
        <v>8</v>
      </c>
      <c r="M27" s="15">
        <f t="shared" si="7"/>
        <v>0</v>
      </c>
      <c r="N27" s="15">
        <f t="shared" si="8"/>
        <v>2320</v>
      </c>
      <c r="O27" s="19">
        <f t="shared" si="9"/>
        <v>0</v>
      </c>
    </row>
    <row r="28" spans="1:15" s="4" customFormat="1" ht="13" customHeight="1" x14ac:dyDescent="0.3">
      <c r="A28" s="28">
        <v>19</v>
      </c>
      <c r="B28" s="29" t="s">
        <v>47</v>
      </c>
      <c r="C28" s="27"/>
      <c r="D28" s="13" t="s">
        <v>99</v>
      </c>
      <c r="E28" s="14">
        <v>17</v>
      </c>
      <c r="F28" s="15">
        <v>240</v>
      </c>
      <c r="G28" s="15">
        <f t="shared" si="0"/>
        <v>4080</v>
      </c>
      <c r="H28" s="16" t="s">
        <v>29</v>
      </c>
      <c r="I28" s="17">
        <f t="shared" si="1"/>
        <v>17</v>
      </c>
      <c r="J28" s="18"/>
      <c r="K28" s="17"/>
      <c r="L28" s="17">
        <f t="shared" si="6"/>
        <v>17</v>
      </c>
      <c r="M28" s="15">
        <f t="shared" si="7"/>
        <v>0</v>
      </c>
      <c r="N28" s="15">
        <f t="shared" si="8"/>
        <v>4080</v>
      </c>
      <c r="O28" s="19">
        <f t="shared" si="9"/>
        <v>0</v>
      </c>
    </row>
    <row r="29" spans="1:15" s="4" customFormat="1" ht="13" customHeight="1" x14ac:dyDescent="0.3">
      <c r="A29" s="28">
        <v>20</v>
      </c>
      <c r="B29" s="26" t="s">
        <v>110</v>
      </c>
      <c r="C29" s="12"/>
      <c r="D29" s="13" t="s">
        <v>99</v>
      </c>
      <c r="E29" s="14">
        <v>5</v>
      </c>
      <c r="F29" s="15">
        <v>240</v>
      </c>
      <c r="G29" s="15">
        <f t="shared" si="0"/>
        <v>1200</v>
      </c>
      <c r="H29" s="16" t="s">
        <v>29</v>
      </c>
      <c r="I29" s="17">
        <f t="shared" si="1"/>
        <v>5</v>
      </c>
      <c r="J29" s="18"/>
      <c r="K29" s="17"/>
      <c r="L29" s="17">
        <f t="shared" si="6"/>
        <v>5</v>
      </c>
      <c r="M29" s="15">
        <f t="shared" si="7"/>
        <v>0</v>
      </c>
      <c r="N29" s="15">
        <f t="shared" si="8"/>
        <v>1200</v>
      </c>
      <c r="O29" s="19">
        <f t="shared" si="9"/>
        <v>0</v>
      </c>
    </row>
    <row r="30" spans="1:15" s="4" customFormat="1" ht="13" customHeight="1" x14ac:dyDescent="0.3">
      <c r="A30" s="28">
        <v>21</v>
      </c>
      <c r="B30" s="23" t="s">
        <v>86</v>
      </c>
      <c r="C30" s="12"/>
      <c r="D30" s="13" t="s">
        <v>99</v>
      </c>
      <c r="E30" s="14">
        <v>14</v>
      </c>
      <c r="F30" s="15">
        <v>240</v>
      </c>
      <c r="G30" s="15">
        <f t="shared" si="0"/>
        <v>3360</v>
      </c>
      <c r="H30" s="12" t="s">
        <v>37</v>
      </c>
      <c r="I30" s="17">
        <f t="shared" si="1"/>
        <v>14</v>
      </c>
      <c r="J30" s="18"/>
      <c r="K30" s="17"/>
      <c r="L30" s="17">
        <f t="shared" si="6"/>
        <v>14</v>
      </c>
      <c r="M30" s="15">
        <f t="shared" si="7"/>
        <v>0</v>
      </c>
      <c r="N30" s="15">
        <f t="shared" si="8"/>
        <v>3360</v>
      </c>
      <c r="O30" s="19">
        <f t="shared" si="9"/>
        <v>0</v>
      </c>
    </row>
    <row r="31" spans="1:15" s="4" customFormat="1" ht="13" customHeight="1" x14ac:dyDescent="0.3">
      <c r="A31" s="30">
        <v>22</v>
      </c>
      <c r="B31" s="26" t="s">
        <v>79</v>
      </c>
      <c r="C31" s="12"/>
      <c r="D31" s="13" t="s">
        <v>99</v>
      </c>
      <c r="E31" s="14">
        <v>7</v>
      </c>
      <c r="F31" s="15">
        <v>240</v>
      </c>
      <c r="G31" s="15">
        <f t="shared" si="0"/>
        <v>1680</v>
      </c>
      <c r="H31" s="16" t="s">
        <v>29</v>
      </c>
      <c r="I31" s="17">
        <f t="shared" si="1"/>
        <v>7</v>
      </c>
      <c r="J31" s="18"/>
      <c r="K31" s="17"/>
      <c r="L31" s="17">
        <f t="shared" si="2"/>
        <v>7</v>
      </c>
      <c r="M31" s="15">
        <f t="shared" si="3"/>
        <v>0</v>
      </c>
      <c r="N31" s="15">
        <f t="shared" si="4"/>
        <v>1680</v>
      </c>
      <c r="O31" s="19">
        <f t="shared" si="5"/>
        <v>0</v>
      </c>
    </row>
    <row r="32" spans="1:15" s="4" customFormat="1" ht="13" customHeight="1" x14ac:dyDescent="0.3">
      <c r="A32" s="31">
        <v>23</v>
      </c>
      <c r="B32" s="23"/>
      <c r="C32" s="12"/>
      <c r="D32" s="13"/>
      <c r="E32" s="14"/>
      <c r="F32" s="15"/>
      <c r="G32" s="15">
        <f t="shared" si="0"/>
        <v>0</v>
      </c>
      <c r="H32" s="23"/>
      <c r="I32" s="17">
        <f t="shared" si="1"/>
        <v>0</v>
      </c>
      <c r="J32" s="18"/>
      <c r="K32" s="17"/>
      <c r="L32" s="17">
        <f t="shared" si="2"/>
        <v>0</v>
      </c>
      <c r="M32" s="15">
        <f t="shared" si="3"/>
        <v>0</v>
      </c>
      <c r="N32" s="15">
        <f t="shared" si="4"/>
        <v>0</v>
      </c>
      <c r="O32" s="19">
        <f t="shared" si="5"/>
        <v>0</v>
      </c>
    </row>
    <row r="34" spans="1:16" ht="20.149999999999999" customHeight="1" x14ac:dyDescent="0.35">
      <c r="E34" s="32">
        <f>SUM(E5:E32)</f>
        <v>226</v>
      </c>
      <c r="G34" s="33">
        <f>SUM(G5:G32)</f>
        <v>69194</v>
      </c>
      <c r="N34" s="33">
        <f>SUM(N5:N32)</f>
        <v>69194</v>
      </c>
      <c r="O34" s="33">
        <f>SUM(O14:O33)</f>
        <v>0</v>
      </c>
      <c r="P34" s="34">
        <f>+O34+N34</f>
        <v>69194</v>
      </c>
    </row>
    <row r="35" spans="1:16" s="4" customFormat="1" ht="15" thickBot="1" x14ac:dyDescent="0.4">
      <c r="A35" s="6"/>
    </row>
    <row r="36" spans="1:16" s="4" customFormat="1" ht="15" thickBot="1" x14ac:dyDescent="0.4">
      <c r="A36" s="6"/>
      <c r="B36" s="79" t="s">
        <v>52</v>
      </c>
      <c r="C36" s="80"/>
      <c r="D36" s="81" t="s">
        <v>53</v>
      </c>
      <c r="E36" s="82"/>
      <c r="F36" s="82"/>
      <c r="G36" s="82"/>
      <c r="H36" s="83"/>
      <c r="I36" s="81">
        <v>0</v>
      </c>
      <c r="J36" s="82"/>
      <c r="K36" s="82"/>
      <c r="L36" s="82"/>
      <c r="M36" s="82"/>
      <c r="N36" s="83"/>
    </row>
    <row r="37" spans="1:16" s="4" customFormat="1" ht="19.5" customHeight="1" x14ac:dyDescent="0.35">
      <c r="A37" s="6"/>
      <c r="B37" s="38" t="s">
        <v>54</v>
      </c>
      <c r="C37" s="39">
        <v>25</v>
      </c>
      <c r="D37" s="40" t="s">
        <v>55</v>
      </c>
      <c r="E37" s="41" t="s">
        <v>56</v>
      </c>
      <c r="F37" s="41" t="s">
        <v>57</v>
      </c>
      <c r="G37" s="41" t="s">
        <v>58</v>
      </c>
      <c r="H37" s="42" t="s">
        <v>59</v>
      </c>
      <c r="I37" s="40" t="s">
        <v>56</v>
      </c>
      <c r="J37" s="41" t="s">
        <v>60</v>
      </c>
      <c r="K37" s="41" t="s">
        <v>55</v>
      </c>
      <c r="L37" s="41"/>
      <c r="M37" s="41"/>
      <c r="N37" s="42" t="s">
        <v>59</v>
      </c>
    </row>
    <row r="38" spans="1:16" s="4" customFormat="1" ht="15" thickBot="1" x14ac:dyDescent="0.35">
      <c r="A38" s="6"/>
      <c r="B38" s="43" t="s">
        <v>61</v>
      </c>
      <c r="C38" s="44">
        <v>9</v>
      </c>
      <c r="D38" s="13" t="s">
        <v>94</v>
      </c>
      <c r="E38" s="45" t="s">
        <v>100</v>
      </c>
      <c r="F38" s="34">
        <f>SUM(E5:E6)</f>
        <v>24</v>
      </c>
      <c r="G38" s="34">
        <v>310</v>
      </c>
      <c r="H38" s="19">
        <f>F38*G38</f>
        <v>7440</v>
      </c>
      <c r="I38" s="46">
        <v>1</v>
      </c>
      <c r="J38" s="16" t="s">
        <v>63</v>
      </c>
      <c r="K38" s="47" t="s">
        <v>64</v>
      </c>
      <c r="L38" s="14">
        <v>9</v>
      </c>
      <c r="M38" s="48">
        <v>550</v>
      </c>
      <c r="N38" s="49">
        <f>M38*L38</f>
        <v>4950</v>
      </c>
    </row>
    <row r="39" spans="1:16" s="4" customFormat="1" ht="15" thickBot="1" x14ac:dyDescent="0.35">
      <c r="A39" s="50"/>
      <c r="B39" s="87"/>
      <c r="C39" s="51"/>
      <c r="D39" s="13" t="s">
        <v>87</v>
      </c>
      <c r="E39" s="45" t="s">
        <v>101</v>
      </c>
      <c r="F39" s="34">
        <f>SUM(E7:E9)</f>
        <v>26</v>
      </c>
      <c r="G39" s="34">
        <v>310</v>
      </c>
      <c r="H39" s="19">
        <f t="shared" ref="H39:H46" si="10">F39*G39</f>
        <v>8060</v>
      </c>
      <c r="I39" s="46">
        <v>2</v>
      </c>
      <c r="J39" s="16" t="s">
        <v>66</v>
      </c>
      <c r="K39" s="47" t="s">
        <v>64</v>
      </c>
      <c r="L39" s="14">
        <v>6</v>
      </c>
      <c r="M39" s="48">
        <v>550</v>
      </c>
      <c r="N39" s="49">
        <f t="shared" ref="N39:N41" si="11">M39*L39</f>
        <v>3300</v>
      </c>
    </row>
    <row r="40" spans="1:16" s="4" customFormat="1" x14ac:dyDescent="0.3">
      <c r="A40" s="75"/>
      <c r="B40" s="84"/>
      <c r="C40" s="51"/>
      <c r="D40" s="13" t="s">
        <v>108</v>
      </c>
      <c r="E40" s="45" t="s">
        <v>102</v>
      </c>
      <c r="F40" s="34">
        <f>SUM(E10:E12)</f>
        <v>22</v>
      </c>
      <c r="G40" s="34">
        <v>310</v>
      </c>
      <c r="H40" s="19">
        <f t="shared" si="10"/>
        <v>6820</v>
      </c>
      <c r="I40" s="46">
        <v>2</v>
      </c>
      <c r="J40" s="16" t="s">
        <v>66</v>
      </c>
      <c r="K40" s="47" t="s">
        <v>118</v>
      </c>
      <c r="L40" s="14">
        <v>1</v>
      </c>
      <c r="M40" s="48">
        <v>550</v>
      </c>
      <c r="N40" s="49">
        <f t="shared" si="11"/>
        <v>550</v>
      </c>
    </row>
    <row r="41" spans="1:16" s="4" customFormat="1" ht="12.5" customHeight="1" x14ac:dyDescent="0.3">
      <c r="A41" s="6"/>
      <c r="B41" s="84"/>
      <c r="C41" s="51"/>
      <c r="D41" s="13" t="s">
        <v>95</v>
      </c>
      <c r="E41" s="45" t="s">
        <v>103</v>
      </c>
      <c r="F41" s="34">
        <f>SUM(E13:E14)</f>
        <v>22</v>
      </c>
      <c r="G41" s="34">
        <v>310</v>
      </c>
      <c r="H41" s="19">
        <f t="shared" si="10"/>
        <v>6820</v>
      </c>
      <c r="I41" s="46">
        <v>3</v>
      </c>
      <c r="J41" s="12" t="s">
        <v>68</v>
      </c>
      <c r="K41" s="47" t="s">
        <v>64</v>
      </c>
      <c r="L41" s="14">
        <v>9</v>
      </c>
      <c r="M41" s="48">
        <v>550</v>
      </c>
      <c r="N41" s="49">
        <f t="shared" si="11"/>
        <v>4950</v>
      </c>
    </row>
    <row r="42" spans="1:16" s="4" customFormat="1" ht="15" thickBot="1" x14ac:dyDescent="0.35">
      <c r="A42" s="6"/>
      <c r="B42" s="84"/>
      <c r="C42" s="51"/>
      <c r="D42" s="13" t="s">
        <v>34</v>
      </c>
      <c r="E42" s="45" t="s">
        <v>67</v>
      </c>
      <c r="F42" s="34">
        <f>SUM(E15:E16)</f>
        <v>6</v>
      </c>
      <c r="G42" s="34">
        <v>324</v>
      </c>
      <c r="H42" s="19">
        <f t="shared" si="10"/>
        <v>1944</v>
      </c>
      <c r="I42" s="46"/>
      <c r="J42" s="16"/>
      <c r="K42" s="47"/>
      <c r="L42" s="14"/>
      <c r="M42" s="48">
        <v>550</v>
      </c>
      <c r="N42" s="53">
        <f>M42*L42</f>
        <v>0</v>
      </c>
    </row>
    <row r="43" spans="1:16" s="4" customFormat="1" ht="12" customHeight="1" x14ac:dyDescent="0.3">
      <c r="A43" s="6"/>
      <c r="B43" s="84"/>
      <c r="D43" s="13" t="s">
        <v>115</v>
      </c>
      <c r="E43" s="45" t="s">
        <v>116</v>
      </c>
      <c r="F43" s="34">
        <f>SUM(E18:E22)</f>
        <v>48</v>
      </c>
      <c r="G43" s="34">
        <v>330</v>
      </c>
      <c r="H43" s="19">
        <f t="shared" si="10"/>
        <v>15840</v>
      </c>
      <c r="I43" s="54"/>
      <c r="J43" s="55"/>
      <c r="K43" s="56"/>
      <c r="L43" s="6"/>
      <c r="M43" s="54"/>
      <c r="N43" s="57">
        <f>N38+N41+N39</f>
        <v>13200</v>
      </c>
    </row>
    <row r="44" spans="1:16" s="4" customFormat="1" ht="12" customHeight="1" x14ac:dyDescent="0.3">
      <c r="A44" s="6"/>
      <c r="B44" s="84"/>
      <c r="D44" s="13" t="s">
        <v>97</v>
      </c>
      <c r="E44" s="45" t="s">
        <v>105</v>
      </c>
      <c r="F44" s="34">
        <f>SUM(E23,E24,E25)</f>
        <v>18</v>
      </c>
      <c r="G44" s="34">
        <v>390</v>
      </c>
      <c r="H44" s="19">
        <f t="shared" si="10"/>
        <v>7020</v>
      </c>
      <c r="I44" s="54"/>
      <c r="J44" s="55"/>
      <c r="K44" s="56"/>
      <c r="L44" s="6"/>
      <c r="M44" s="54"/>
      <c r="N44" s="54"/>
    </row>
    <row r="45" spans="1:16" s="4" customFormat="1" ht="14" customHeight="1" thickBot="1" x14ac:dyDescent="0.35">
      <c r="A45" s="6"/>
      <c r="B45" s="84"/>
      <c r="D45" s="13" t="s">
        <v>98</v>
      </c>
      <c r="E45" s="45" t="s">
        <v>106</v>
      </c>
      <c r="F45" s="34">
        <f>SUM(E26:E27)</f>
        <v>14</v>
      </c>
      <c r="G45" s="34">
        <v>290</v>
      </c>
      <c r="H45" s="19">
        <f t="shared" si="10"/>
        <v>4060</v>
      </c>
      <c r="N45" s="58"/>
    </row>
    <row r="46" spans="1:16" s="4" customFormat="1" x14ac:dyDescent="0.3">
      <c r="A46" s="6"/>
      <c r="B46" s="84"/>
      <c r="D46" s="13" t="s">
        <v>99</v>
      </c>
      <c r="E46" s="45" t="s">
        <v>109</v>
      </c>
      <c r="F46" s="34">
        <f>SUM(E28:E31)</f>
        <v>43</v>
      </c>
      <c r="G46" s="34">
        <v>240</v>
      </c>
      <c r="H46" s="19">
        <f t="shared" si="10"/>
        <v>10320</v>
      </c>
      <c r="I46" s="35" t="s">
        <v>70</v>
      </c>
      <c r="J46" s="36"/>
      <c r="K46" s="36"/>
      <c r="L46" s="36"/>
      <c r="M46" s="36"/>
      <c r="N46" s="37"/>
    </row>
    <row r="47" spans="1:16" s="4" customFormat="1" ht="14" customHeight="1" x14ac:dyDescent="0.3">
      <c r="B47" s="84"/>
      <c r="C47" s="59"/>
      <c r="D47" s="13"/>
      <c r="E47" s="45"/>
      <c r="F47" s="34"/>
      <c r="G47" s="34"/>
      <c r="H47" s="52">
        <f t="shared" ref="H47:H51" si="12">F47*G47</f>
        <v>0</v>
      </c>
      <c r="I47" s="60" t="s">
        <v>56</v>
      </c>
      <c r="J47" s="61" t="s">
        <v>72</v>
      </c>
      <c r="K47" s="61" t="s">
        <v>55</v>
      </c>
      <c r="L47" s="61" t="s">
        <v>3</v>
      </c>
      <c r="M47" s="61" t="s">
        <v>58</v>
      </c>
      <c r="N47" s="62" t="s">
        <v>59</v>
      </c>
    </row>
    <row r="48" spans="1:16" s="4" customFormat="1" x14ac:dyDescent="0.3">
      <c r="B48" s="84"/>
      <c r="D48" s="13"/>
      <c r="E48" s="45"/>
      <c r="F48" s="34"/>
      <c r="G48" s="34"/>
      <c r="H48" s="52">
        <f t="shared" si="12"/>
        <v>0</v>
      </c>
      <c r="I48" s="63">
        <v>1</v>
      </c>
      <c r="J48" s="64" t="s">
        <v>73</v>
      </c>
      <c r="K48" s="48" t="s">
        <v>74</v>
      </c>
      <c r="L48" s="34">
        <v>10</v>
      </c>
      <c r="M48" s="48">
        <v>1000</v>
      </c>
      <c r="N48" s="49">
        <f t="shared" ref="N48:N50" si="13">L48*M48</f>
        <v>10000</v>
      </c>
    </row>
    <row r="49" spans="1:14" s="4" customFormat="1" x14ac:dyDescent="0.3">
      <c r="B49" s="84"/>
      <c r="D49" s="13"/>
      <c r="E49" s="45"/>
      <c r="F49" s="34"/>
      <c r="G49" s="34"/>
      <c r="H49" s="52"/>
      <c r="I49" s="63">
        <v>1</v>
      </c>
      <c r="J49" s="64" t="s">
        <v>75</v>
      </c>
      <c r="K49" s="48" t="s">
        <v>74</v>
      </c>
      <c r="L49" s="34">
        <v>7</v>
      </c>
      <c r="M49" s="48">
        <v>1000</v>
      </c>
      <c r="N49" s="49">
        <f t="shared" ref="N49" si="14">L49*M49</f>
        <v>7000</v>
      </c>
    </row>
    <row r="50" spans="1:14" s="4" customFormat="1" x14ac:dyDescent="0.3">
      <c r="B50" s="84"/>
      <c r="D50" s="72" t="s">
        <v>96</v>
      </c>
      <c r="E50" s="73" t="s">
        <v>117</v>
      </c>
      <c r="F50" s="74">
        <f>SUM(E17)</f>
        <v>3</v>
      </c>
      <c r="G50" s="74">
        <v>290</v>
      </c>
      <c r="H50" s="52">
        <f t="shared" si="12"/>
        <v>870</v>
      </c>
      <c r="I50" s="46">
        <v>2</v>
      </c>
      <c r="J50" s="64" t="s">
        <v>75</v>
      </c>
      <c r="K50" s="48" t="s">
        <v>74</v>
      </c>
      <c r="L50" s="34">
        <v>25</v>
      </c>
      <c r="M50" s="48">
        <v>1000</v>
      </c>
      <c r="N50" s="49">
        <f t="shared" si="13"/>
        <v>25000</v>
      </c>
    </row>
    <row r="51" spans="1:14" s="4" customFormat="1" ht="15" thickBot="1" x14ac:dyDescent="0.35">
      <c r="B51" s="84"/>
      <c r="D51" s="13"/>
      <c r="E51" s="45"/>
      <c r="F51" s="34"/>
      <c r="G51" s="34"/>
      <c r="H51" s="52">
        <f t="shared" si="12"/>
        <v>0</v>
      </c>
      <c r="I51" s="46">
        <v>3</v>
      </c>
      <c r="J51" s="64" t="s">
        <v>73</v>
      </c>
      <c r="K51" s="48" t="s">
        <v>74</v>
      </c>
      <c r="L51" s="34">
        <v>39</v>
      </c>
      <c r="M51" s="48">
        <v>1000</v>
      </c>
      <c r="N51" s="49">
        <f>L51*M51</f>
        <v>39000</v>
      </c>
    </row>
    <row r="52" spans="1:14" s="4" customFormat="1" x14ac:dyDescent="0.35">
      <c r="E52" s="85" t="s">
        <v>59</v>
      </c>
      <c r="F52" s="86"/>
      <c r="G52" s="66">
        <f>SUM(F38:F51)</f>
        <v>226</v>
      </c>
      <c r="H52" s="33">
        <f>SUM(H38:H51)</f>
        <v>69194</v>
      </c>
      <c r="L52" s="4">
        <f>SUM(L48:L51)</f>
        <v>81</v>
      </c>
      <c r="M52" s="57"/>
      <c r="N52" s="67">
        <f>SUM(N48:N51)</f>
        <v>81000</v>
      </c>
    </row>
    <row r="53" spans="1:14" s="4" customFormat="1" x14ac:dyDescent="0.35"/>
    <row r="54" spans="1:14" s="4" customFormat="1" ht="8" customHeight="1" x14ac:dyDescent="0.35"/>
    <row r="55" spans="1:14" s="4" customFormat="1" ht="8.5" customHeight="1" x14ac:dyDescent="0.35"/>
    <row r="56" spans="1:14" s="4" customFormat="1" ht="8" customHeight="1" x14ac:dyDescent="0.25">
      <c r="G56" s="68"/>
    </row>
    <row r="57" spans="1:14" s="4" customFormat="1" ht="15" thickBot="1" x14ac:dyDescent="0.4">
      <c r="C57" s="77"/>
      <c r="D57" s="77"/>
      <c r="I57" s="77"/>
      <c r="J57" s="77"/>
    </row>
    <row r="58" spans="1:14" s="4" customFormat="1" x14ac:dyDescent="0.35">
      <c r="C58" s="78" t="s">
        <v>77</v>
      </c>
      <c r="D58" s="78"/>
      <c r="I58" s="78" t="s">
        <v>78</v>
      </c>
      <c r="J58" s="78"/>
    </row>
    <row r="59" spans="1:14" s="4" customFormat="1" x14ac:dyDescent="0.35"/>
    <row r="64" spans="1:14" s="4" customFormat="1" x14ac:dyDescent="0.35">
      <c r="A64" s="6"/>
      <c r="G64" s="69"/>
    </row>
    <row r="65" spans="1:7" s="4" customFormat="1" x14ac:dyDescent="0.35">
      <c r="A65" s="6"/>
      <c r="E65" s="6"/>
      <c r="G65" s="69"/>
    </row>
    <row r="66" spans="1:7" s="4" customFormat="1" x14ac:dyDescent="0.35">
      <c r="A66" s="6"/>
      <c r="G66" s="69"/>
    </row>
    <row r="67" spans="1:7" s="4" customFormat="1" x14ac:dyDescent="0.35">
      <c r="A67" s="6"/>
      <c r="G67" s="69"/>
    </row>
    <row r="68" spans="1:7" s="4" customFormat="1" x14ac:dyDescent="0.35">
      <c r="A68" s="6"/>
      <c r="G68" s="69"/>
    </row>
    <row r="69" spans="1:7" s="4" customFormat="1" x14ac:dyDescent="0.35">
      <c r="A69" s="6"/>
      <c r="G69" s="69"/>
    </row>
  </sheetData>
  <mergeCells count="10">
    <mergeCell ref="C57:D57"/>
    <mergeCell ref="I57:J57"/>
    <mergeCell ref="C58:D58"/>
    <mergeCell ref="I58:J58"/>
    <mergeCell ref="D1:F1"/>
    <mergeCell ref="B36:C36"/>
    <mergeCell ref="D36:H36"/>
    <mergeCell ref="I36:N36"/>
    <mergeCell ref="B39:B51"/>
    <mergeCell ref="E52:F52"/>
  </mergeCells>
  <conditionalFormatting sqref="P34">
    <cfRule type="cellIs" dxfId="9" priority="1" operator="lessThan">
      <formula>$G$34</formula>
    </cfRule>
    <cfRule type="cellIs" dxfId="8" priority="2" operator="greaterThan">
      <formula>$G$34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F61C-84C3-4B24-BD75-DF16E0F78061}">
  <dimension ref="A1:P75"/>
  <sheetViews>
    <sheetView zoomScale="106" zoomScaleNormal="106" workbookViewId="0">
      <selection activeCell="D14" sqref="D14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46154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94</v>
      </c>
      <c r="E5" s="14">
        <v>12</v>
      </c>
      <c r="F5" s="15">
        <v>310</v>
      </c>
      <c r="G5" s="15">
        <f t="shared" ref="G5:G40" si="0">+E5*F5</f>
        <v>3720</v>
      </c>
      <c r="H5" s="16" t="s">
        <v>22</v>
      </c>
      <c r="I5" s="17">
        <f t="shared" ref="I5:I40" si="1">E5</f>
        <v>12</v>
      </c>
      <c r="J5" s="18"/>
      <c r="K5" s="17"/>
      <c r="L5" s="17">
        <f t="shared" ref="L5:L6" si="2">E5</f>
        <v>12</v>
      </c>
      <c r="M5" s="15">
        <f t="shared" ref="M5:M6" si="3">E5-L5</f>
        <v>0</v>
      </c>
      <c r="N5" s="15">
        <f t="shared" ref="N5:N6" si="4">E5*F5</f>
        <v>3720</v>
      </c>
      <c r="O5" s="19">
        <f t="shared" ref="O5:O6" si="5">+K5*F5</f>
        <v>0</v>
      </c>
    </row>
    <row r="6" spans="1:15" s="20" customFormat="1" ht="14.5" customHeight="1" x14ac:dyDescent="0.3">
      <c r="A6" s="11">
        <v>2</v>
      </c>
      <c r="B6" s="23" t="s">
        <v>45</v>
      </c>
      <c r="C6" s="12"/>
      <c r="D6" s="13" t="s">
        <v>94</v>
      </c>
      <c r="E6" s="14">
        <v>12</v>
      </c>
      <c r="F6" s="15">
        <v>310</v>
      </c>
      <c r="G6" s="15">
        <f t="shared" si="0"/>
        <v>3720</v>
      </c>
      <c r="H6" s="16" t="s">
        <v>22</v>
      </c>
      <c r="I6" s="17">
        <f t="shared" si="1"/>
        <v>12</v>
      </c>
      <c r="J6" s="18"/>
      <c r="K6" s="17"/>
      <c r="L6" s="17">
        <f t="shared" si="2"/>
        <v>12</v>
      </c>
      <c r="M6" s="15">
        <f t="shared" si="3"/>
        <v>0</v>
      </c>
      <c r="N6" s="15">
        <f t="shared" si="4"/>
        <v>3720</v>
      </c>
      <c r="O6" s="19">
        <f t="shared" si="5"/>
        <v>0</v>
      </c>
    </row>
    <row r="7" spans="1:15" s="20" customFormat="1" ht="14.5" customHeight="1" x14ac:dyDescent="0.3">
      <c r="A7" s="11">
        <v>2</v>
      </c>
      <c r="B7" s="12" t="s">
        <v>44</v>
      </c>
      <c r="C7" s="12"/>
      <c r="D7" s="13" t="s">
        <v>94</v>
      </c>
      <c r="E7" s="14">
        <v>2</v>
      </c>
      <c r="F7" s="15">
        <v>310</v>
      </c>
      <c r="G7" s="15">
        <f t="shared" si="0"/>
        <v>620</v>
      </c>
      <c r="H7" s="23" t="s">
        <v>114</v>
      </c>
      <c r="I7" s="17">
        <f t="shared" si="1"/>
        <v>2</v>
      </c>
      <c r="J7" s="18"/>
      <c r="K7" s="17"/>
      <c r="L7" s="17">
        <f t="shared" ref="L7:L40" si="6">E7</f>
        <v>2</v>
      </c>
      <c r="M7" s="15">
        <f t="shared" ref="M7:M40" si="7">E7-L7</f>
        <v>0</v>
      </c>
      <c r="N7" s="15">
        <f t="shared" ref="N7:N40" si="8">E7*F7</f>
        <v>620</v>
      </c>
      <c r="O7" s="19">
        <f t="shared" ref="O7:O40" si="9">+K7*F7</f>
        <v>0</v>
      </c>
    </row>
    <row r="8" spans="1:15" s="20" customFormat="1" ht="14.5" customHeight="1" x14ac:dyDescent="0.3">
      <c r="A8" s="11">
        <v>3</v>
      </c>
      <c r="B8" s="21" t="s">
        <v>24</v>
      </c>
      <c r="C8" s="12"/>
      <c r="D8" s="13" t="s">
        <v>87</v>
      </c>
      <c r="E8" s="14">
        <v>15</v>
      </c>
      <c r="F8" s="15">
        <v>310</v>
      </c>
      <c r="G8" s="15">
        <f t="shared" si="0"/>
        <v>4650</v>
      </c>
      <c r="H8" s="18" t="s">
        <v>38</v>
      </c>
      <c r="I8" s="17">
        <f t="shared" si="1"/>
        <v>15</v>
      </c>
      <c r="J8" s="18"/>
      <c r="K8" s="17"/>
      <c r="L8" s="17">
        <f t="shared" si="6"/>
        <v>15</v>
      </c>
      <c r="M8" s="15">
        <f t="shared" si="7"/>
        <v>0</v>
      </c>
      <c r="N8" s="15">
        <f t="shared" si="8"/>
        <v>4650</v>
      </c>
      <c r="O8" s="19">
        <f t="shared" si="9"/>
        <v>0</v>
      </c>
    </row>
    <row r="9" spans="1:15" s="20" customFormat="1" ht="14.5" customHeight="1" x14ac:dyDescent="0.3">
      <c r="A9" s="11">
        <v>3</v>
      </c>
      <c r="B9" s="22" t="s">
        <v>26</v>
      </c>
      <c r="C9" s="12"/>
      <c r="D9" s="13" t="s">
        <v>87</v>
      </c>
      <c r="E9" s="14">
        <v>1</v>
      </c>
      <c r="F9" s="15">
        <v>310</v>
      </c>
      <c r="G9" s="15">
        <f t="shared" si="0"/>
        <v>310</v>
      </c>
      <c r="H9" s="16" t="s">
        <v>29</v>
      </c>
      <c r="I9" s="17">
        <f t="shared" si="1"/>
        <v>1</v>
      </c>
      <c r="J9" s="18"/>
      <c r="K9" s="17"/>
      <c r="L9" s="17">
        <f t="shared" si="6"/>
        <v>1</v>
      </c>
      <c r="M9" s="15">
        <f t="shared" si="7"/>
        <v>0</v>
      </c>
      <c r="N9" s="15">
        <f t="shared" si="8"/>
        <v>310</v>
      </c>
      <c r="O9" s="19">
        <f t="shared" si="9"/>
        <v>0</v>
      </c>
    </row>
    <row r="10" spans="1:15" s="20" customFormat="1" ht="14.5" customHeight="1" x14ac:dyDescent="0.3">
      <c r="A10" s="11">
        <v>4</v>
      </c>
      <c r="B10" s="23" t="s">
        <v>41</v>
      </c>
      <c r="C10" s="12"/>
      <c r="D10" s="13" t="s">
        <v>87</v>
      </c>
      <c r="E10" s="14">
        <v>12</v>
      </c>
      <c r="F10" s="15">
        <v>310</v>
      </c>
      <c r="G10" s="15">
        <f t="shared" si="0"/>
        <v>3720</v>
      </c>
      <c r="H10" s="18" t="s">
        <v>38</v>
      </c>
      <c r="I10" s="17">
        <f t="shared" si="1"/>
        <v>12</v>
      </c>
      <c r="J10" s="18"/>
      <c r="K10" s="17"/>
      <c r="L10" s="17">
        <f t="shared" si="6"/>
        <v>12</v>
      </c>
      <c r="M10" s="15">
        <f t="shared" si="7"/>
        <v>0</v>
      </c>
      <c r="N10" s="15">
        <f t="shared" si="8"/>
        <v>3720</v>
      </c>
      <c r="O10" s="19">
        <f t="shared" si="9"/>
        <v>0</v>
      </c>
    </row>
    <row r="11" spans="1:15" s="20" customFormat="1" ht="14.5" customHeight="1" x14ac:dyDescent="0.3">
      <c r="A11" s="11">
        <v>5</v>
      </c>
      <c r="B11" s="16" t="s">
        <v>23</v>
      </c>
      <c r="C11" s="12"/>
      <c r="D11" s="13" t="s">
        <v>108</v>
      </c>
      <c r="E11" s="14">
        <v>13</v>
      </c>
      <c r="F11" s="15">
        <v>310</v>
      </c>
      <c r="G11" s="15">
        <f t="shared" si="0"/>
        <v>4030</v>
      </c>
      <c r="H11" s="16" t="s">
        <v>27</v>
      </c>
      <c r="I11" s="17">
        <f t="shared" si="1"/>
        <v>13</v>
      </c>
      <c r="J11" s="18"/>
      <c r="K11" s="17"/>
      <c r="L11" s="17">
        <f t="shared" si="6"/>
        <v>13</v>
      </c>
      <c r="M11" s="15">
        <f t="shared" si="7"/>
        <v>0</v>
      </c>
      <c r="N11" s="15">
        <f t="shared" si="8"/>
        <v>4030</v>
      </c>
      <c r="O11" s="19">
        <f t="shared" si="9"/>
        <v>0</v>
      </c>
    </row>
    <row r="12" spans="1:15" s="20" customFormat="1" ht="14.5" customHeight="1" x14ac:dyDescent="0.3">
      <c r="A12" s="11">
        <v>6</v>
      </c>
      <c r="B12" s="23" t="s">
        <v>32</v>
      </c>
      <c r="C12" s="12"/>
      <c r="D12" s="13" t="s">
        <v>108</v>
      </c>
      <c r="E12" s="14">
        <v>10</v>
      </c>
      <c r="F12" s="15">
        <v>310</v>
      </c>
      <c r="G12" s="15">
        <f t="shared" si="0"/>
        <v>3100</v>
      </c>
      <c r="H12" s="16" t="s">
        <v>27</v>
      </c>
      <c r="I12" s="17">
        <f t="shared" si="1"/>
        <v>10</v>
      </c>
      <c r="J12" s="18"/>
      <c r="K12" s="17"/>
      <c r="L12" s="17">
        <f t="shared" si="6"/>
        <v>10</v>
      </c>
      <c r="M12" s="15">
        <f t="shared" si="7"/>
        <v>0</v>
      </c>
      <c r="N12" s="15">
        <f t="shared" si="8"/>
        <v>3100</v>
      </c>
      <c r="O12" s="19">
        <f t="shared" si="9"/>
        <v>0</v>
      </c>
    </row>
    <row r="13" spans="1:15" s="20" customFormat="1" ht="14.5" customHeight="1" x14ac:dyDescent="0.3">
      <c r="A13" s="11">
        <v>7</v>
      </c>
      <c r="B13" s="23" t="s">
        <v>40</v>
      </c>
      <c r="C13" s="12"/>
      <c r="D13" s="13" t="s">
        <v>95</v>
      </c>
      <c r="E13" s="14">
        <v>13</v>
      </c>
      <c r="F13" s="15">
        <v>310</v>
      </c>
      <c r="G13" s="15">
        <f t="shared" si="0"/>
        <v>4030</v>
      </c>
      <c r="H13" s="12" t="s">
        <v>25</v>
      </c>
      <c r="I13" s="17">
        <f t="shared" si="1"/>
        <v>13</v>
      </c>
      <c r="J13" s="18"/>
      <c r="K13" s="17"/>
      <c r="L13" s="17">
        <f t="shared" si="6"/>
        <v>13</v>
      </c>
      <c r="M13" s="15">
        <f t="shared" si="7"/>
        <v>0</v>
      </c>
      <c r="N13" s="15">
        <f t="shared" si="8"/>
        <v>4030</v>
      </c>
      <c r="O13" s="19">
        <f t="shared" si="9"/>
        <v>0</v>
      </c>
    </row>
    <row r="14" spans="1:15" s="24" customFormat="1" ht="14.5" customHeight="1" x14ac:dyDescent="0.3">
      <c r="A14" s="11">
        <v>8</v>
      </c>
      <c r="B14" s="12" t="s">
        <v>28</v>
      </c>
      <c r="C14" s="12"/>
      <c r="D14" s="13" t="s">
        <v>95</v>
      </c>
      <c r="E14" s="14">
        <v>11</v>
      </c>
      <c r="F14" s="15">
        <v>310</v>
      </c>
      <c r="G14" s="15">
        <f t="shared" si="0"/>
        <v>3410</v>
      </c>
      <c r="H14" s="12" t="s">
        <v>25</v>
      </c>
      <c r="I14" s="17">
        <f t="shared" si="1"/>
        <v>11</v>
      </c>
      <c r="J14" s="18"/>
      <c r="K14" s="17"/>
      <c r="L14" s="17">
        <f t="shared" si="6"/>
        <v>11</v>
      </c>
      <c r="M14" s="15">
        <f t="shared" si="7"/>
        <v>0</v>
      </c>
      <c r="N14" s="15">
        <f t="shared" si="8"/>
        <v>3410</v>
      </c>
      <c r="O14" s="19">
        <f t="shared" si="9"/>
        <v>0</v>
      </c>
    </row>
    <row r="15" spans="1:15" s="24" customFormat="1" ht="14.5" customHeight="1" x14ac:dyDescent="0.3">
      <c r="A15" s="11">
        <v>9</v>
      </c>
      <c r="B15" s="70" t="s">
        <v>84</v>
      </c>
      <c r="C15" s="25" t="s">
        <v>33</v>
      </c>
      <c r="D15" s="13" t="s">
        <v>34</v>
      </c>
      <c r="E15" s="14">
        <v>8</v>
      </c>
      <c r="F15" s="15">
        <v>324</v>
      </c>
      <c r="G15" s="15">
        <f t="shared" si="0"/>
        <v>2592</v>
      </c>
      <c r="H15" s="12" t="s">
        <v>25</v>
      </c>
      <c r="I15" s="17">
        <f t="shared" si="1"/>
        <v>8</v>
      </c>
      <c r="J15" s="18"/>
      <c r="K15" s="17"/>
      <c r="L15" s="17">
        <f t="shared" si="6"/>
        <v>8</v>
      </c>
      <c r="M15" s="15">
        <f t="shared" si="7"/>
        <v>0</v>
      </c>
      <c r="N15" s="15">
        <f t="shared" si="8"/>
        <v>2592</v>
      </c>
      <c r="O15" s="19">
        <f t="shared" si="9"/>
        <v>0</v>
      </c>
    </row>
    <row r="16" spans="1:15" s="24" customFormat="1" ht="14.5" customHeight="1" x14ac:dyDescent="0.3">
      <c r="A16" s="11">
        <v>9</v>
      </c>
      <c r="B16" s="70" t="s">
        <v>84</v>
      </c>
      <c r="C16" s="25" t="s">
        <v>33</v>
      </c>
      <c r="D16" s="13" t="s">
        <v>34</v>
      </c>
      <c r="E16" s="14">
        <v>2</v>
      </c>
      <c r="F16" s="15">
        <v>324</v>
      </c>
      <c r="G16" s="15">
        <f t="shared" si="0"/>
        <v>648</v>
      </c>
      <c r="H16" s="23" t="s">
        <v>114</v>
      </c>
      <c r="I16" s="17">
        <f t="shared" si="1"/>
        <v>2</v>
      </c>
      <c r="J16" s="18"/>
      <c r="K16" s="17"/>
      <c r="L16" s="17">
        <f t="shared" si="6"/>
        <v>2</v>
      </c>
      <c r="M16" s="15">
        <f t="shared" si="7"/>
        <v>0</v>
      </c>
      <c r="N16" s="15">
        <f t="shared" si="8"/>
        <v>648</v>
      </c>
      <c r="O16" s="19">
        <f t="shared" si="9"/>
        <v>0</v>
      </c>
    </row>
    <row r="17" spans="1:15" s="24" customFormat="1" ht="14.5" customHeight="1" x14ac:dyDescent="0.3">
      <c r="A17" s="11">
        <v>10</v>
      </c>
      <c r="B17" s="26" t="s">
        <v>35</v>
      </c>
      <c r="C17" s="12"/>
      <c r="D17" s="13" t="s">
        <v>34</v>
      </c>
      <c r="E17" s="14">
        <v>5</v>
      </c>
      <c r="F17" s="15">
        <v>324</v>
      </c>
      <c r="G17" s="15">
        <f t="shared" si="0"/>
        <v>1620</v>
      </c>
      <c r="H17" s="16" t="s">
        <v>22</v>
      </c>
      <c r="I17" s="17">
        <f t="shared" si="1"/>
        <v>5</v>
      </c>
      <c r="J17" s="18"/>
      <c r="K17" s="17"/>
      <c r="L17" s="17">
        <f t="shared" si="6"/>
        <v>5</v>
      </c>
      <c r="M17" s="15">
        <f t="shared" si="7"/>
        <v>0</v>
      </c>
      <c r="N17" s="15">
        <f t="shared" si="8"/>
        <v>1620</v>
      </c>
      <c r="O17" s="19">
        <f t="shared" si="9"/>
        <v>0</v>
      </c>
    </row>
    <row r="18" spans="1:15" s="24" customFormat="1" ht="14.5" customHeight="1" x14ac:dyDescent="0.3">
      <c r="A18" s="11">
        <v>11</v>
      </c>
      <c r="B18" s="12" t="s">
        <v>30</v>
      </c>
      <c r="C18" s="12"/>
      <c r="D18" s="13" t="s">
        <v>115</v>
      </c>
      <c r="E18" s="14">
        <v>14</v>
      </c>
      <c r="F18" s="15">
        <v>330</v>
      </c>
      <c r="G18" s="15">
        <f t="shared" si="0"/>
        <v>4620</v>
      </c>
      <c r="H18" s="23" t="s">
        <v>114</v>
      </c>
      <c r="I18" s="17">
        <f t="shared" si="1"/>
        <v>14</v>
      </c>
      <c r="J18" s="18"/>
      <c r="K18" s="17"/>
      <c r="L18" s="17">
        <f t="shared" si="6"/>
        <v>14</v>
      </c>
      <c r="M18" s="15">
        <f t="shared" si="7"/>
        <v>0</v>
      </c>
      <c r="N18" s="15">
        <f t="shared" si="8"/>
        <v>4620</v>
      </c>
      <c r="O18" s="19">
        <f t="shared" si="9"/>
        <v>0</v>
      </c>
    </row>
    <row r="19" spans="1:15" s="24" customFormat="1" ht="14.5" customHeight="1" x14ac:dyDescent="0.3">
      <c r="A19" s="11">
        <v>12</v>
      </c>
      <c r="B19" s="12" t="s">
        <v>44</v>
      </c>
      <c r="C19" s="12"/>
      <c r="D19" s="13" t="s">
        <v>115</v>
      </c>
      <c r="E19" s="14">
        <v>7</v>
      </c>
      <c r="F19" s="15">
        <v>330</v>
      </c>
      <c r="G19" s="15">
        <f t="shared" si="0"/>
        <v>2310</v>
      </c>
      <c r="H19" s="23" t="s">
        <v>114</v>
      </c>
      <c r="I19" s="17">
        <f t="shared" si="1"/>
        <v>7</v>
      </c>
      <c r="J19" s="18"/>
      <c r="K19" s="17"/>
      <c r="L19" s="17">
        <f t="shared" si="6"/>
        <v>7</v>
      </c>
      <c r="M19" s="15">
        <f t="shared" si="7"/>
        <v>0</v>
      </c>
      <c r="N19" s="15">
        <f t="shared" si="8"/>
        <v>2310</v>
      </c>
      <c r="O19" s="19">
        <f t="shared" si="9"/>
        <v>0</v>
      </c>
    </row>
    <row r="20" spans="1:15" s="24" customFormat="1" ht="14.5" customHeight="1" x14ac:dyDescent="0.3">
      <c r="A20" s="11">
        <v>13</v>
      </c>
      <c r="B20" s="23" t="s">
        <v>49</v>
      </c>
      <c r="C20" s="12"/>
      <c r="D20" s="13" t="s">
        <v>115</v>
      </c>
      <c r="E20" s="14">
        <v>12</v>
      </c>
      <c r="F20" s="15">
        <v>330</v>
      </c>
      <c r="G20" s="15">
        <f t="shared" si="0"/>
        <v>3960</v>
      </c>
      <c r="H20" s="16" t="s">
        <v>80</v>
      </c>
      <c r="I20" s="17">
        <f t="shared" si="1"/>
        <v>12</v>
      </c>
      <c r="J20" s="18"/>
      <c r="K20" s="17"/>
      <c r="L20" s="17">
        <f t="shared" si="6"/>
        <v>12</v>
      </c>
      <c r="M20" s="15">
        <f t="shared" si="7"/>
        <v>0</v>
      </c>
      <c r="N20" s="15">
        <f t="shared" si="8"/>
        <v>3960</v>
      </c>
      <c r="O20" s="19">
        <f t="shared" si="9"/>
        <v>0</v>
      </c>
    </row>
    <row r="21" spans="1:15" s="24" customFormat="1" ht="14.5" customHeight="1" x14ac:dyDescent="0.3">
      <c r="A21" s="11">
        <v>13</v>
      </c>
      <c r="B21" s="23" t="s">
        <v>49</v>
      </c>
      <c r="C21" s="12"/>
      <c r="D21" s="13" t="s">
        <v>115</v>
      </c>
      <c r="E21" s="14">
        <v>0.5</v>
      </c>
      <c r="F21" s="15">
        <v>330</v>
      </c>
      <c r="G21" s="15">
        <f t="shared" si="0"/>
        <v>165</v>
      </c>
      <c r="H21" s="16" t="s">
        <v>29</v>
      </c>
      <c r="I21" s="17">
        <f t="shared" si="1"/>
        <v>0.5</v>
      </c>
      <c r="J21" s="18"/>
      <c r="K21" s="17"/>
      <c r="L21" s="17">
        <f t="shared" si="6"/>
        <v>0.5</v>
      </c>
      <c r="M21" s="15">
        <f t="shared" si="7"/>
        <v>0</v>
      </c>
      <c r="N21" s="15">
        <f t="shared" si="8"/>
        <v>165</v>
      </c>
      <c r="O21" s="19">
        <f t="shared" si="9"/>
        <v>0</v>
      </c>
    </row>
    <row r="22" spans="1:15" s="24" customFormat="1" ht="14.5" customHeight="1" x14ac:dyDescent="0.3">
      <c r="A22" s="11">
        <v>14</v>
      </c>
      <c r="B22" s="12" t="s">
        <v>48</v>
      </c>
      <c r="C22" s="27"/>
      <c r="D22" s="13" t="s">
        <v>115</v>
      </c>
      <c r="E22" s="14">
        <v>11.5</v>
      </c>
      <c r="F22" s="15">
        <v>330</v>
      </c>
      <c r="G22" s="15">
        <f t="shared" si="0"/>
        <v>3795</v>
      </c>
      <c r="H22" s="16" t="s">
        <v>80</v>
      </c>
      <c r="I22" s="17">
        <f t="shared" si="1"/>
        <v>11.5</v>
      </c>
      <c r="J22" s="18"/>
      <c r="K22" s="17"/>
      <c r="L22" s="17">
        <f t="shared" si="6"/>
        <v>11.5</v>
      </c>
      <c r="M22" s="15">
        <f t="shared" si="7"/>
        <v>0</v>
      </c>
      <c r="N22" s="15">
        <f t="shared" si="8"/>
        <v>3795</v>
      </c>
      <c r="O22" s="19">
        <f t="shared" si="9"/>
        <v>0</v>
      </c>
    </row>
    <row r="23" spans="1:15" s="20" customFormat="1" ht="13" customHeight="1" x14ac:dyDescent="0.3">
      <c r="A23" s="11">
        <v>15</v>
      </c>
      <c r="B23" s="12" t="s">
        <v>39</v>
      </c>
      <c r="C23" s="27"/>
      <c r="D23" s="13" t="s">
        <v>97</v>
      </c>
      <c r="E23" s="14">
        <v>9</v>
      </c>
      <c r="F23" s="15">
        <v>390</v>
      </c>
      <c r="G23" s="15">
        <f t="shared" si="0"/>
        <v>3510</v>
      </c>
      <c r="H23" s="16" t="s">
        <v>29</v>
      </c>
      <c r="I23" s="17">
        <f t="shared" si="1"/>
        <v>9</v>
      </c>
      <c r="J23" s="18"/>
      <c r="K23" s="17"/>
      <c r="L23" s="17">
        <f t="shared" si="6"/>
        <v>9</v>
      </c>
      <c r="M23" s="15">
        <f t="shared" si="7"/>
        <v>0</v>
      </c>
      <c r="N23" s="15">
        <f t="shared" si="8"/>
        <v>3510</v>
      </c>
      <c r="O23" s="19">
        <f t="shared" si="9"/>
        <v>0</v>
      </c>
    </row>
    <row r="24" spans="1:15" s="20" customFormat="1" ht="13" customHeight="1" x14ac:dyDescent="0.3">
      <c r="A24" s="11">
        <v>16</v>
      </c>
      <c r="B24" s="22" t="s">
        <v>26</v>
      </c>
      <c r="C24" s="12"/>
      <c r="D24" s="13" t="s">
        <v>97</v>
      </c>
      <c r="E24" s="14">
        <v>9</v>
      </c>
      <c r="F24" s="15">
        <v>390</v>
      </c>
      <c r="G24" s="15">
        <f t="shared" si="0"/>
        <v>3510</v>
      </c>
      <c r="H24" s="16" t="s">
        <v>29</v>
      </c>
      <c r="I24" s="17">
        <f t="shared" si="1"/>
        <v>9</v>
      </c>
      <c r="J24" s="18"/>
      <c r="K24" s="17"/>
      <c r="L24" s="17">
        <f t="shared" si="6"/>
        <v>9</v>
      </c>
      <c r="M24" s="15">
        <f t="shared" si="7"/>
        <v>0</v>
      </c>
      <c r="N24" s="15">
        <f t="shared" si="8"/>
        <v>3510</v>
      </c>
      <c r="O24" s="19">
        <f t="shared" si="9"/>
        <v>0</v>
      </c>
    </row>
    <row r="25" spans="1:15" s="4" customFormat="1" ht="13" customHeight="1" x14ac:dyDescent="0.3">
      <c r="A25" s="28">
        <v>17</v>
      </c>
      <c r="B25" s="26" t="s">
        <v>85</v>
      </c>
      <c r="C25" s="12"/>
      <c r="D25" s="13" t="s">
        <v>98</v>
      </c>
      <c r="E25" s="14">
        <v>5</v>
      </c>
      <c r="F25" s="15">
        <v>290</v>
      </c>
      <c r="G25" s="15">
        <f t="shared" si="0"/>
        <v>1450</v>
      </c>
      <c r="H25" s="12" t="s">
        <v>37</v>
      </c>
      <c r="I25" s="17">
        <f t="shared" si="1"/>
        <v>5</v>
      </c>
      <c r="J25" s="18"/>
      <c r="K25" s="17"/>
      <c r="L25" s="17">
        <f t="shared" si="6"/>
        <v>5</v>
      </c>
      <c r="M25" s="15">
        <f t="shared" si="7"/>
        <v>0</v>
      </c>
      <c r="N25" s="15">
        <f t="shared" si="8"/>
        <v>1450</v>
      </c>
      <c r="O25" s="19">
        <f t="shared" si="9"/>
        <v>0</v>
      </c>
    </row>
    <row r="26" spans="1:15" s="4" customFormat="1" ht="13" customHeight="1" x14ac:dyDescent="0.3">
      <c r="A26" s="28">
        <v>18</v>
      </c>
      <c r="B26" s="26" t="s">
        <v>46</v>
      </c>
      <c r="C26" s="27"/>
      <c r="D26" s="13" t="s">
        <v>98</v>
      </c>
      <c r="E26" s="14">
        <v>8</v>
      </c>
      <c r="F26" s="15">
        <v>290</v>
      </c>
      <c r="G26" s="15">
        <f t="shared" si="0"/>
        <v>2320</v>
      </c>
      <c r="H26" s="12" t="s">
        <v>37</v>
      </c>
      <c r="I26" s="17">
        <f t="shared" si="1"/>
        <v>8</v>
      </c>
      <c r="J26" s="18"/>
      <c r="K26" s="17"/>
      <c r="L26" s="17">
        <f t="shared" si="6"/>
        <v>8</v>
      </c>
      <c r="M26" s="15">
        <f t="shared" si="7"/>
        <v>0</v>
      </c>
      <c r="N26" s="15">
        <f t="shared" si="8"/>
        <v>2320</v>
      </c>
      <c r="O26" s="19">
        <f t="shared" si="9"/>
        <v>0</v>
      </c>
    </row>
    <row r="27" spans="1:15" s="4" customFormat="1" ht="13" customHeight="1" x14ac:dyDescent="0.3">
      <c r="A27" s="28">
        <v>19</v>
      </c>
      <c r="B27" s="29" t="s">
        <v>47</v>
      </c>
      <c r="C27" s="27"/>
      <c r="D27" s="13" t="s">
        <v>99</v>
      </c>
      <c r="E27" s="14">
        <v>4</v>
      </c>
      <c r="F27" s="15">
        <v>240</v>
      </c>
      <c r="G27" s="15">
        <f t="shared" si="0"/>
        <v>960</v>
      </c>
      <c r="H27" s="23" t="s">
        <v>114</v>
      </c>
      <c r="I27" s="17">
        <f t="shared" si="1"/>
        <v>4</v>
      </c>
      <c r="J27" s="18"/>
      <c r="K27" s="17"/>
      <c r="L27" s="17">
        <f t="shared" si="6"/>
        <v>4</v>
      </c>
      <c r="M27" s="15">
        <f t="shared" si="7"/>
        <v>0</v>
      </c>
      <c r="N27" s="15">
        <f t="shared" si="8"/>
        <v>960</v>
      </c>
      <c r="O27" s="19">
        <f t="shared" si="9"/>
        <v>0</v>
      </c>
    </row>
    <row r="28" spans="1:15" s="4" customFormat="1" ht="13" customHeight="1" x14ac:dyDescent="0.3">
      <c r="A28" s="28">
        <v>19</v>
      </c>
      <c r="B28" s="29" t="s">
        <v>47</v>
      </c>
      <c r="C28" s="27"/>
      <c r="D28" s="13" t="s">
        <v>99</v>
      </c>
      <c r="E28" s="14">
        <v>4</v>
      </c>
      <c r="F28" s="15">
        <v>240</v>
      </c>
      <c r="G28" s="15">
        <f t="shared" si="0"/>
        <v>960</v>
      </c>
      <c r="H28" s="16" t="s">
        <v>29</v>
      </c>
      <c r="I28" s="17">
        <f t="shared" si="1"/>
        <v>4</v>
      </c>
      <c r="J28" s="18"/>
      <c r="K28" s="17"/>
      <c r="L28" s="17">
        <f t="shared" si="6"/>
        <v>4</v>
      </c>
      <c r="M28" s="15">
        <f t="shared" si="7"/>
        <v>0</v>
      </c>
      <c r="N28" s="15">
        <f t="shared" si="8"/>
        <v>960</v>
      </c>
      <c r="O28" s="19">
        <f t="shared" si="9"/>
        <v>0</v>
      </c>
    </row>
    <row r="29" spans="1:15" s="4" customFormat="1" ht="13" customHeight="1" x14ac:dyDescent="0.3">
      <c r="A29" s="28">
        <v>19</v>
      </c>
      <c r="B29" s="29" t="s">
        <v>47</v>
      </c>
      <c r="C29" s="27"/>
      <c r="D29" s="13" t="s">
        <v>119</v>
      </c>
      <c r="E29" s="14">
        <v>3</v>
      </c>
      <c r="F29" s="15">
        <v>300</v>
      </c>
      <c r="G29" s="15">
        <f t="shared" si="0"/>
        <v>900</v>
      </c>
      <c r="H29" s="23" t="s">
        <v>114</v>
      </c>
      <c r="I29" s="17">
        <f t="shared" si="1"/>
        <v>3</v>
      </c>
      <c r="J29" s="18"/>
      <c r="K29" s="17"/>
      <c r="L29" s="17">
        <f t="shared" si="6"/>
        <v>3</v>
      </c>
      <c r="M29" s="15">
        <f t="shared" si="7"/>
        <v>0</v>
      </c>
      <c r="N29" s="15">
        <f t="shared" si="8"/>
        <v>900</v>
      </c>
      <c r="O29" s="19">
        <f t="shared" si="9"/>
        <v>0</v>
      </c>
    </row>
    <row r="30" spans="1:15" s="4" customFormat="1" ht="13" customHeight="1" x14ac:dyDescent="0.3">
      <c r="A30" s="28">
        <v>19</v>
      </c>
      <c r="B30" s="29" t="s">
        <v>47</v>
      </c>
      <c r="C30" s="27"/>
      <c r="D30" s="13" t="s">
        <v>119</v>
      </c>
      <c r="E30" s="14">
        <v>3</v>
      </c>
      <c r="F30" s="15">
        <v>300</v>
      </c>
      <c r="G30" s="15">
        <f t="shared" si="0"/>
        <v>900</v>
      </c>
      <c r="H30" s="16" t="s">
        <v>29</v>
      </c>
      <c r="I30" s="17">
        <f t="shared" si="1"/>
        <v>3</v>
      </c>
      <c r="J30" s="18"/>
      <c r="K30" s="17"/>
      <c r="L30" s="17">
        <f t="shared" si="6"/>
        <v>3</v>
      </c>
      <c r="M30" s="15">
        <f t="shared" si="7"/>
        <v>0</v>
      </c>
      <c r="N30" s="15">
        <f t="shared" si="8"/>
        <v>900</v>
      </c>
      <c r="O30" s="19">
        <f t="shared" si="9"/>
        <v>0</v>
      </c>
    </row>
    <row r="31" spans="1:15" s="4" customFormat="1" ht="13" customHeight="1" x14ac:dyDescent="0.3">
      <c r="A31" s="28">
        <v>20</v>
      </c>
      <c r="B31" s="26" t="s">
        <v>110</v>
      </c>
      <c r="C31" s="70" t="s">
        <v>82</v>
      </c>
      <c r="D31" s="13" t="s">
        <v>99</v>
      </c>
      <c r="E31" s="14">
        <v>4</v>
      </c>
      <c r="F31" s="15">
        <v>240</v>
      </c>
      <c r="G31" s="15">
        <f t="shared" si="0"/>
        <v>960</v>
      </c>
      <c r="H31" s="18" t="s">
        <v>38</v>
      </c>
      <c r="I31" s="17">
        <f t="shared" si="1"/>
        <v>4</v>
      </c>
      <c r="J31" s="18"/>
      <c r="K31" s="17"/>
      <c r="L31" s="17">
        <f t="shared" si="6"/>
        <v>4</v>
      </c>
      <c r="M31" s="15">
        <f t="shared" si="7"/>
        <v>0</v>
      </c>
      <c r="N31" s="15">
        <f t="shared" si="8"/>
        <v>960</v>
      </c>
      <c r="O31" s="19">
        <f t="shared" si="9"/>
        <v>0</v>
      </c>
    </row>
    <row r="32" spans="1:15" s="4" customFormat="1" ht="13" customHeight="1" x14ac:dyDescent="0.3">
      <c r="A32" s="28">
        <v>20</v>
      </c>
      <c r="B32" s="26" t="s">
        <v>110</v>
      </c>
      <c r="C32" s="70" t="s">
        <v>82</v>
      </c>
      <c r="D32" s="13" t="s">
        <v>119</v>
      </c>
      <c r="E32" s="14">
        <v>2</v>
      </c>
      <c r="F32" s="15">
        <v>300</v>
      </c>
      <c r="G32" s="15">
        <f t="shared" si="0"/>
        <v>600</v>
      </c>
      <c r="H32" s="16" t="s">
        <v>22</v>
      </c>
      <c r="I32" s="17">
        <f t="shared" si="1"/>
        <v>2</v>
      </c>
      <c r="J32" s="18"/>
      <c r="K32" s="17"/>
      <c r="L32" s="17">
        <f t="shared" si="6"/>
        <v>2</v>
      </c>
      <c r="M32" s="15">
        <f t="shared" si="7"/>
        <v>0</v>
      </c>
      <c r="N32" s="15">
        <f t="shared" si="8"/>
        <v>600</v>
      </c>
      <c r="O32" s="19">
        <f t="shared" si="9"/>
        <v>0</v>
      </c>
    </row>
    <row r="33" spans="1:16" s="4" customFormat="1" ht="13" customHeight="1" x14ac:dyDescent="0.3">
      <c r="A33" s="28">
        <v>20</v>
      </c>
      <c r="B33" s="26" t="s">
        <v>110</v>
      </c>
      <c r="C33" s="70" t="s">
        <v>82</v>
      </c>
      <c r="D33" s="13" t="s">
        <v>119</v>
      </c>
      <c r="E33" s="14">
        <v>2</v>
      </c>
      <c r="F33" s="15">
        <v>300</v>
      </c>
      <c r="G33" s="15">
        <f t="shared" si="0"/>
        <v>600</v>
      </c>
      <c r="H33" s="18" t="s">
        <v>38</v>
      </c>
      <c r="I33" s="17">
        <f t="shared" si="1"/>
        <v>2</v>
      </c>
      <c r="J33" s="18"/>
      <c r="K33" s="17"/>
      <c r="L33" s="17">
        <f t="shared" si="6"/>
        <v>2</v>
      </c>
      <c r="M33" s="15">
        <f t="shared" si="7"/>
        <v>0</v>
      </c>
      <c r="N33" s="15">
        <f t="shared" si="8"/>
        <v>600</v>
      </c>
      <c r="O33" s="19">
        <f t="shared" si="9"/>
        <v>0</v>
      </c>
    </row>
    <row r="34" spans="1:16" s="4" customFormat="1" ht="13" customHeight="1" x14ac:dyDescent="0.3">
      <c r="A34" s="28">
        <v>21</v>
      </c>
      <c r="B34" s="23" t="s">
        <v>86</v>
      </c>
      <c r="C34" s="12"/>
      <c r="D34" s="13" t="s">
        <v>99</v>
      </c>
      <c r="E34" s="14">
        <v>5</v>
      </c>
      <c r="F34" s="15">
        <v>240</v>
      </c>
      <c r="G34" s="15">
        <f t="shared" si="0"/>
        <v>1200</v>
      </c>
      <c r="H34" s="12" t="s">
        <v>37</v>
      </c>
      <c r="I34" s="17">
        <f t="shared" si="1"/>
        <v>5</v>
      </c>
      <c r="J34" s="18"/>
      <c r="K34" s="17"/>
      <c r="L34" s="17">
        <f t="shared" si="6"/>
        <v>5</v>
      </c>
      <c r="M34" s="15">
        <f t="shared" si="7"/>
        <v>0</v>
      </c>
      <c r="N34" s="15">
        <f t="shared" si="8"/>
        <v>1200</v>
      </c>
      <c r="O34" s="19">
        <f t="shared" si="9"/>
        <v>0</v>
      </c>
    </row>
    <row r="35" spans="1:16" s="4" customFormat="1" ht="13" customHeight="1" x14ac:dyDescent="0.3">
      <c r="A35" s="28">
        <v>21</v>
      </c>
      <c r="B35" s="23" t="s">
        <v>86</v>
      </c>
      <c r="C35" s="12"/>
      <c r="D35" s="13" t="s">
        <v>119</v>
      </c>
      <c r="E35" s="14">
        <v>7</v>
      </c>
      <c r="F35" s="15">
        <v>300</v>
      </c>
      <c r="G35" s="15">
        <f t="shared" si="0"/>
        <v>2100</v>
      </c>
      <c r="H35" s="12" t="s">
        <v>37</v>
      </c>
      <c r="I35" s="17">
        <f t="shared" si="1"/>
        <v>7</v>
      </c>
      <c r="J35" s="18"/>
      <c r="K35" s="17"/>
      <c r="L35" s="17">
        <f t="shared" si="6"/>
        <v>7</v>
      </c>
      <c r="M35" s="15">
        <f t="shared" si="7"/>
        <v>0</v>
      </c>
      <c r="N35" s="15">
        <f t="shared" si="8"/>
        <v>2100</v>
      </c>
      <c r="O35" s="19">
        <f t="shared" si="9"/>
        <v>0</v>
      </c>
    </row>
    <row r="36" spans="1:16" s="4" customFormat="1" ht="13" customHeight="1" x14ac:dyDescent="0.3">
      <c r="A36" s="30">
        <v>22</v>
      </c>
      <c r="B36" s="26" t="s">
        <v>79</v>
      </c>
      <c r="C36" s="12"/>
      <c r="D36" s="13" t="s">
        <v>99</v>
      </c>
      <c r="E36" s="14">
        <v>2</v>
      </c>
      <c r="F36" s="15">
        <v>240</v>
      </c>
      <c r="G36" s="15">
        <f t="shared" si="0"/>
        <v>480</v>
      </c>
      <c r="H36" s="16" t="s">
        <v>80</v>
      </c>
      <c r="I36" s="17">
        <f t="shared" si="1"/>
        <v>2</v>
      </c>
      <c r="J36" s="18"/>
      <c r="K36" s="17"/>
      <c r="L36" s="17">
        <f t="shared" si="6"/>
        <v>2</v>
      </c>
      <c r="M36" s="15">
        <f t="shared" si="7"/>
        <v>0</v>
      </c>
      <c r="N36" s="15">
        <f t="shared" si="8"/>
        <v>480</v>
      </c>
      <c r="O36" s="19">
        <f t="shared" si="9"/>
        <v>0</v>
      </c>
    </row>
    <row r="37" spans="1:16" s="4" customFormat="1" ht="13" customHeight="1" x14ac:dyDescent="0.3">
      <c r="A37" s="30">
        <v>22</v>
      </c>
      <c r="B37" s="26" t="s">
        <v>79</v>
      </c>
      <c r="C37" s="12"/>
      <c r="D37" s="13" t="s">
        <v>119</v>
      </c>
      <c r="E37" s="14">
        <v>2</v>
      </c>
      <c r="F37" s="15">
        <v>300</v>
      </c>
      <c r="G37" s="15">
        <f t="shared" si="0"/>
        <v>600</v>
      </c>
      <c r="H37" s="16" t="s">
        <v>80</v>
      </c>
      <c r="I37" s="17">
        <f t="shared" si="1"/>
        <v>2</v>
      </c>
      <c r="J37" s="18"/>
      <c r="K37" s="17"/>
      <c r="L37" s="17">
        <f t="shared" si="6"/>
        <v>2</v>
      </c>
      <c r="M37" s="15">
        <f t="shared" si="7"/>
        <v>0</v>
      </c>
      <c r="N37" s="15">
        <f t="shared" si="8"/>
        <v>600</v>
      </c>
      <c r="O37" s="19">
        <f t="shared" si="9"/>
        <v>0</v>
      </c>
    </row>
    <row r="38" spans="1:16" s="4" customFormat="1" ht="13" customHeight="1" x14ac:dyDescent="0.3">
      <c r="A38" s="30">
        <v>22</v>
      </c>
      <c r="B38" s="26" t="s">
        <v>79</v>
      </c>
      <c r="C38" s="12"/>
      <c r="D38" s="13" t="s">
        <v>119</v>
      </c>
      <c r="E38" s="14">
        <v>2</v>
      </c>
      <c r="F38" s="15">
        <v>300</v>
      </c>
      <c r="G38" s="15">
        <f t="shared" si="0"/>
        <v>600</v>
      </c>
      <c r="H38" s="12" t="s">
        <v>37</v>
      </c>
      <c r="I38" s="17">
        <f t="shared" si="1"/>
        <v>2</v>
      </c>
      <c r="J38" s="18"/>
      <c r="K38" s="17"/>
      <c r="L38" s="17">
        <f t="shared" si="6"/>
        <v>2</v>
      </c>
      <c r="M38" s="15">
        <f t="shared" si="7"/>
        <v>0</v>
      </c>
      <c r="N38" s="15">
        <f t="shared" si="8"/>
        <v>600</v>
      </c>
      <c r="O38" s="19">
        <f t="shared" si="9"/>
        <v>0</v>
      </c>
    </row>
    <row r="39" spans="1:16" s="4" customFormat="1" ht="13" customHeight="1" x14ac:dyDescent="0.3">
      <c r="A39" s="30">
        <v>23</v>
      </c>
      <c r="B39" s="26" t="s">
        <v>50</v>
      </c>
      <c r="C39" s="12"/>
      <c r="D39" s="13" t="s">
        <v>51</v>
      </c>
      <c r="E39" s="14">
        <v>11</v>
      </c>
      <c r="F39" s="15">
        <v>360</v>
      </c>
      <c r="G39" s="15">
        <f t="shared" si="0"/>
        <v>3960</v>
      </c>
      <c r="H39" s="26" t="s">
        <v>50</v>
      </c>
      <c r="I39" s="17">
        <f t="shared" si="1"/>
        <v>11</v>
      </c>
      <c r="J39" s="18"/>
      <c r="K39" s="17"/>
      <c r="L39" s="17">
        <f t="shared" si="6"/>
        <v>11</v>
      </c>
      <c r="M39" s="15">
        <f t="shared" si="7"/>
        <v>0</v>
      </c>
      <c r="N39" s="15">
        <f t="shared" si="8"/>
        <v>3960</v>
      </c>
      <c r="O39" s="19">
        <f t="shared" si="9"/>
        <v>0</v>
      </c>
    </row>
    <row r="40" spans="1:16" s="4" customFormat="1" ht="13" customHeight="1" x14ac:dyDescent="0.3">
      <c r="A40" s="31">
        <v>23</v>
      </c>
      <c r="B40" s="26" t="s">
        <v>50</v>
      </c>
      <c r="C40" s="12"/>
      <c r="D40" s="13" t="s">
        <v>119</v>
      </c>
      <c r="E40" s="14">
        <v>9</v>
      </c>
      <c r="F40" s="15">
        <v>300</v>
      </c>
      <c r="G40" s="15">
        <f t="shared" si="0"/>
        <v>2700</v>
      </c>
      <c r="H40" s="26" t="s">
        <v>50</v>
      </c>
      <c r="I40" s="17">
        <f t="shared" si="1"/>
        <v>9</v>
      </c>
      <c r="J40" s="18"/>
      <c r="K40" s="17"/>
      <c r="L40" s="17">
        <f t="shared" si="6"/>
        <v>9</v>
      </c>
      <c r="M40" s="15">
        <f t="shared" si="7"/>
        <v>0</v>
      </c>
      <c r="N40" s="15">
        <f t="shared" si="8"/>
        <v>2700</v>
      </c>
      <c r="O40" s="19">
        <f t="shared" si="9"/>
        <v>0</v>
      </c>
    </row>
    <row r="42" spans="1:16" ht="20.149999999999999" customHeight="1" x14ac:dyDescent="0.35">
      <c r="E42" s="32">
        <f>SUM(E5:E40)</f>
        <v>252</v>
      </c>
      <c r="G42" s="33">
        <f>SUM(G5:G40)</f>
        <v>79330</v>
      </c>
      <c r="N42" s="33">
        <f>SUM(N5:N40)</f>
        <v>79330</v>
      </c>
      <c r="O42" s="33">
        <f>SUM(O14:O41)</f>
        <v>0</v>
      </c>
      <c r="P42" s="34">
        <f>+O42+N42</f>
        <v>79330</v>
      </c>
    </row>
    <row r="43" spans="1:16" s="4" customFormat="1" ht="15" thickBot="1" x14ac:dyDescent="0.4">
      <c r="A43" s="6"/>
    </row>
    <row r="44" spans="1:16" s="4" customFormat="1" ht="15" thickBot="1" x14ac:dyDescent="0.4">
      <c r="A44" s="6"/>
      <c r="B44" s="79" t="s">
        <v>52</v>
      </c>
      <c r="C44" s="80"/>
      <c r="D44" s="81" t="s">
        <v>53</v>
      </c>
      <c r="E44" s="82"/>
      <c r="F44" s="82"/>
      <c r="G44" s="82"/>
      <c r="H44" s="83"/>
      <c r="I44" s="81">
        <v>0</v>
      </c>
      <c r="J44" s="82"/>
      <c r="K44" s="82"/>
      <c r="L44" s="82"/>
      <c r="M44" s="82"/>
      <c r="N44" s="83"/>
    </row>
    <row r="45" spans="1:16" s="4" customFormat="1" ht="19.5" customHeight="1" x14ac:dyDescent="0.35">
      <c r="A45" s="6"/>
      <c r="B45" s="38" t="s">
        <v>54</v>
      </c>
      <c r="C45" s="39">
        <v>25</v>
      </c>
      <c r="D45" s="40" t="s">
        <v>55</v>
      </c>
      <c r="E45" s="41" t="s">
        <v>56</v>
      </c>
      <c r="F45" s="41" t="s">
        <v>57</v>
      </c>
      <c r="G45" s="41" t="s">
        <v>58</v>
      </c>
      <c r="H45" s="42" t="s">
        <v>59</v>
      </c>
      <c r="I45" s="40" t="s">
        <v>56</v>
      </c>
      <c r="J45" s="41" t="s">
        <v>60</v>
      </c>
      <c r="K45" s="41" t="s">
        <v>55</v>
      </c>
      <c r="L45" s="41"/>
      <c r="M45" s="41"/>
      <c r="N45" s="42" t="s">
        <v>59</v>
      </c>
    </row>
    <row r="46" spans="1:16" s="4" customFormat="1" ht="15" thickBot="1" x14ac:dyDescent="0.35">
      <c r="A46" s="6"/>
      <c r="B46" s="43" t="s">
        <v>61</v>
      </c>
      <c r="C46" s="44">
        <v>8</v>
      </c>
      <c r="D46" s="13" t="s">
        <v>94</v>
      </c>
      <c r="E46" s="45" t="s">
        <v>100</v>
      </c>
      <c r="F46" s="34">
        <f>SUM(E5:E7)</f>
        <v>26</v>
      </c>
      <c r="G46" s="34">
        <v>310</v>
      </c>
      <c r="H46" s="19">
        <f>F46*G46</f>
        <v>8060</v>
      </c>
      <c r="I46" s="46">
        <v>1</v>
      </c>
      <c r="J46" s="16" t="s">
        <v>63</v>
      </c>
      <c r="K46" s="47" t="s">
        <v>118</v>
      </c>
      <c r="L46" s="14">
        <v>6</v>
      </c>
      <c r="M46" s="48">
        <v>550</v>
      </c>
      <c r="N46" s="49">
        <f>M46*L46</f>
        <v>3300</v>
      </c>
    </row>
    <row r="47" spans="1:16" s="4" customFormat="1" x14ac:dyDescent="0.3">
      <c r="A47" s="75"/>
      <c r="B47" s="84"/>
      <c r="C47" s="51"/>
      <c r="D47" s="13" t="s">
        <v>87</v>
      </c>
      <c r="E47" s="45" t="s">
        <v>101</v>
      </c>
      <c r="F47" s="34">
        <f>SUM(E8:E10)</f>
        <v>28</v>
      </c>
      <c r="G47" s="34">
        <v>310</v>
      </c>
      <c r="H47" s="19">
        <f t="shared" ref="H47:H57" si="10">F47*G47</f>
        <v>8680</v>
      </c>
      <c r="I47" s="46">
        <v>2</v>
      </c>
      <c r="J47" s="16" t="s">
        <v>66</v>
      </c>
      <c r="K47" s="47" t="s">
        <v>118</v>
      </c>
      <c r="L47" s="14">
        <v>6</v>
      </c>
      <c r="M47" s="48">
        <v>550</v>
      </c>
      <c r="N47" s="49">
        <f t="shared" ref="N47:N48" si="11">M47*L47</f>
        <v>3300</v>
      </c>
    </row>
    <row r="48" spans="1:16" s="4" customFormat="1" ht="12.5" customHeight="1" x14ac:dyDescent="0.3">
      <c r="A48" s="6"/>
      <c r="B48" s="84"/>
      <c r="C48" s="51"/>
      <c r="D48" s="13" t="s">
        <v>108</v>
      </c>
      <c r="E48" s="45" t="s">
        <v>102</v>
      </c>
      <c r="F48" s="34">
        <f>SUM(E11:E12)</f>
        <v>23</v>
      </c>
      <c r="G48" s="34">
        <v>310</v>
      </c>
      <c r="H48" s="19">
        <f t="shared" si="10"/>
        <v>7130</v>
      </c>
      <c r="I48" s="46">
        <v>3</v>
      </c>
      <c r="J48" s="12" t="s">
        <v>68</v>
      </c>
      <c r="K48" s="47" t="s">
        <v>118</v>
      </c>
      <c r="L48" s="14">
        <v>6</v>
      </c>
      <c r="M48" s="48">
        <v>550</v>
      </c>
      <c r="N48" s="49">
        <f t="shared" si="11"/>
        <v>3300</v>
      </c>
    </row>
    <row r="49" spans="1:14" s="4" customFormat="1" ht="15" thickBot="1" x14ac:dyDescent="0.35">
      <c r="A49" s="6"/>
      <c r="B49" s="84"/>
      <c r="C49" s="51"/>
      <c r="D49" s="13" t="s">
        <v>95</v>
      </c>
      <c r="E49" s="45" t="s">
        <v>103</v>
      </c>
      <c r="F49" s="34">
        <f>SUM(E13:E14)</f>
        <v>24</v>
      </c>
      <c r="G49" s="34">
        <v>310</v>
      </c>
      <c r="H49" s="19">
        <f t="shared" si="10"/>
        <v>7440</v>
      </c>
      <c r="I49" s="46"/>
      <c r="J49" s="16"/>
      <c r="K49" s="47"/>
      <c r="L49" s="14"/>
      <c r="M49" s="48"/>
      <c r="N49" s="53">
        <f>M49*L49</f>
        <v>0</v>
      </c>
    </row>
    <row r="50" spans="1:14" s="4" customFormat="1" ht="12" customHeight="1" x14ac:dyDescent="0.3">
      <c r="A50" s="6"/>
      <c r="B50" s="84"/>
      <c r="D50" s="13" t="s">
        <v>34</v>
      </c>
      <c r="E50" s="45" t="s">
        <v>67</v>
      </c>
      <c r="F50" s="34">
        <f>SUM(E15:E17)</f>
        <v>15</v>
      </c>
      <c r="G50" s="34">
        <v>324</v>
      </c>
      <c r="H50" s="19">
        <f t="shared" si="10"/>
        <v>4860</v>
      </c>
      <c r="I50" s="54"/>
      <c r="J50" s="55"/>
      <c r="K50" s="56"/>
      <c r="L50" s="6"/>
      <c r="M50" s="54"/>
      <c r="N50" s="57">
        <f>N46+N47+N48</f>
        <v>9900</v>
      </c>
    </row>
    <row r="51" spans="1:14" s="4" customFormat="1" ht="12" customHeight="1" x14ac:dyDescent="0.3">
      <c r="A51" s="6"/>
      <c r="B51" s="84"/>
      <c r="D51" s="13" t="s">
        <v>115</v>
      </c>
      <c r="E51" s="45" t="s">
        <v>116</v>
      </c>
      <c r="F51" s="34">
        <f>SUM(E18:E22)</f>
        <v>45</v>
      </c>
      <c r="G51" s="34">
        <v>330</v>
      </c>
      <c r="H51" s="19">
        <f t="shared" si="10"/>
        <v>14850</v>
      </c>
      <c r="I51" s="54"/>
      <c r="J51" s="55"/>
      <c r="K51" s="56"/>
      <c r="L51" s="6"/>
      <c r="M51" s="54"/>
      <c r="N51" s="54"/>
    </row>
    <row r="52" spans="1:14" s="4" customFormat="1" ht="14" customHeight="1" thickBot="1" x14ac:dyDescent="0.35">
      <c r="A52" s="6"/>
      <c r="B52" s="84"/>
      <c r="D52" s="13" t="s">
        <v>97</v>
      </c>
      <c r="E52" s="45" t="s">
        <v>105</v>
      </c>
      <c r="F52" s="34">
        <f>SUM(E23:E24)</f>
        <v>18</v>
      </c>
      <c r="G52" s="34">
        <v>390</v>
      </c>
      <c r="H52" s="19">
        <f t="shared" si="10"/>
        <v>7020</v>
      </c>
      <c r="N52" s="58"/>
    </row>
    <row r="53" spans="1:14" s="4" customFormat="1" x14ac:dyDescent="0.3">
      <c r="A53" s="6"/>
      <c r="B53" s="84"/>
      <c r="D53" s="13" t="s">
        <v>98</v>
      </c>
      <c r="E53" s="45" t="s">
        <v>106</v>
      </c>
      <c r="F53" s="34">
        <f>SUM(E25:E26)</f>
        <v>13</v>
      </c>
      <c r="G53" s="34">
        <v>290</v>
      </c>
      <c r="H53" s="19">
        <f t="shared" si="10"/>
        <v>3770</v>
      </c>
      <c r="I53" s="35" t="s">
        <v>70</v>
      </c>
      <c r="J53" s="36"/>
      <c r="K53" s="36"/>
      <c r="L53" s="36"/>
      <c r="M53" s="36"/>
      <c r="N53" s="37"/>
    </row>
    <row r="54" spans="1:14" s="4" customFormat="1" ht="14" customHeight="1" x14ac:dyDescent="0.3">
      <c r="B54" s="84"/>
      <c r="C54" s="59"/>
      <c r="D54" s="13" t="s">
        <v>119</v>
      </c>
      <c r="E54" s="45" t="s">
        <v>120</v>
      </c>
      <c r="F54" s="34">
        <f>SUM(E29,E30,E32,E33,E35,E37,E38,E40)</f>
        <v>30</v>
      </c>
      <c r="G54" s="34">
        <v>300</v>
      </c>
      <c r="H54" s="52">
        <f t="shared" si="10"/>
        <v>9000</v>
      </c>
      <c r="I54" s="60" t="s">
        <v>56</v>
      </c>
      <c r="J54" s="61" t="s">
        <v>72</v>
      </c>
      <c r="K54" s="61" t="s">
        <v>55</v>
      </c>
      <c r="L54" s="61" t="s">
        <v>3</v>
      </c>
      <c r="M54" s="61" t="s">
        <v>58</v>
      </c>
      <c r="N54" s="62" t="s">
        <v>59</v>
      </c>
    </row>
    <row r="55" spans="1:14" s="4" customFormat="1" x14ac:dyDescent="0.3">
      <c r="B55" s="84"/>
      <c r="D55" s="72" t="s">
        <v>51</v>
      </c>
      <c r="E55" s="73" t="s">
        <v>71</v>
      </c>
      <c r="F55" s="74">
        <f>SUM(E39)</f>
        <v>11</v>
      </c>
      <c r="G55" s="74">
        <v>360</v>
      </c>
      <c r="H55" s="76">
        <f t="shared" si="10"/>
        <v>3960</v>
      </c>
      <c r="I55" s="63">
        <v>1</v>
      </c>
      <c r="J55" s="64" t="s">
        <v>73</v>
      </c>
      <c r="K55" s="48" t="s">
        <v>74</v>
      </c>
      <c r="L55" s="34">
        <v>36</v>
      </c>
      <c r="M55" s="48">
        <v>1000</v>
      </c>
      <c r="N55" s="49">
        <f t="shared" ref="N55:N56" si="12">L55*M55</f>
        <v>36000</v>
      </c>
    </row>
    <row r="56" spans="1:14" s="4" customFormat="1" x14ac:dyDescent="0.3">
      <c r="B56" s="84"/>
      <c r="D56" s="72" t="s">
        <v>99</v>
      </c>
      <c r="E56" s="73" t="s">
        <v>109</v>
      </c>
      <c r="F56" s="74">
        <f>SUM(E27:E28,E31,E34,E36)</f>
        <v>19</v>
      </c>
      <c r="G56" s="74">
        <v>240</v>
      </c>
      <c r="H56" s="76">
        <f t="shared" si="10"/>
        <v>4560</v>
      </c>
      <c r="I56" s="46">
        <v>2</v>
      </c>
      <c r="J56" s="64" t="s">
        <v>75</v>
      </c>
      <c r="K56" s="48" t="s">
        <v>74</v>
      </c>
      <c r="L56" s="34">
        <v>30</v>
      </c>
      <c r="M56" s="48">
        <v>1000</v>
      </c>
      <c r="N56" s="49">
        <f t="shared" si="12"/>
        <v>30000</v>
      </c>
    </row>
    <row r="57" spans="1:14" s="4" customFormat="1" ht="15" thickBot="1" x14ac:dyDescent="0.35">
      <c r="B57" s="84"/>
      <c r="D57" s="13"/>
      <c r="E57" s="45"/>
      <c r="F57" s="34"/>
      <c r="G57" s="34"/>
      <c r="H57" s="52">
        <f t="shared" si="10"/>
        <v>0</v>
      </c>
      <c r="I57" s="46">
        <v>3</v>
      </c>
      <c r="J57" s="65" t="s">
        <v>121</v>
      </c>
      <c r="K57" s="48" t="s">
        <v>74</v>
      </c>
      <c r="L57" s="34"/>
      <c r="M57" s="48">
        <v>1000</v>
      </c>
      <c r="N57" s="49">
        <f>L57*M57</f>
        <v>0</v>
      </c>
    </row>
    <row r="58" spans="1:14" s="4" customFormat="1" x14ac:dyDescent="0.35">
      <c r="E58" s="85" t="s">
        <v>59</v>
      </c>
      <c r="F58" s="86"/>
      <c r="G58" s="66">
        <f>SUM(F46:F57)</f>
        <v>252</v>
      </c>
      <c r="H58" s="33">
        <f>SUM(H46:H57)</f>
        <v>79330</v>
      </c>
      <c r="L58" s="4">
        <f>SUM(L55:L57)</f>
        <v>66</v>
      </c>
      <c r="M58" s="57"/>
      <c r="N58" s="67">
        <f>SUM(N55:N57)</f>
        <v>66000</v>
      </c>
    </row>
    <row r="59" spans="1:14" s="4" customFormat="1" x14ac:dyDescent="0.35"/>
    <row r="60" spans="1:14" s="4" customFormat="1" ht="8" customHeight="1" x14ac:dyDescent="0.35"/>
    <row r="61" spans="1:14" s="4" customFormat="1" ht="8.5" customHeight="1" x14ac:dyDescent="0.35"/>
    <row r="62" spans="1:14" s="4" customFormat="1" ht="8" customHeight="1" x14ac:dyDescent="0.25">
      <c r="G62" s="68"/>
    </row>
    <row r="63" spans="1:14" s="4" customFormat="1" ht="15" thickBot="1" x14ac:dyDescent="0.4">
      <c r="C63" s="77"/>
      <c r="D63" s="77"/>
      <c r="I63" s="77"/>
      <c r="J63" s="77"/>
    </row>
    <row r="64" spans="1:14" s="4" customFormat="1" x14ac:dyDescent="0.35">
      <c r="C64" s="78" t="s">
        <v>77</v>
      </c>
      <c r="D64" s="78"/>
      <c r="I64" s="78" t="s">
        <v>78</v>
      </c>
      <c r="J64" s="78"/>
    </row>
    <row r="65" spans="1:7" s="4" customFormat="1" x14ac:dyDescent="0.35"/>
    <row r="70" spans="1:7" s="4" customFormat="1" x14ac:dyDescent="0.35">
      <c r="A70" s="6"/>
      <c r="G70" s="69"/>
    </row>
    <row r="71" spans="1:7" s="4" customFormat="1" x14ac:dyDescent="0.35">
      <c r="A71" s="6"/>
      <c r="E71" s="6"/>
      <c r="G71" s="69"/>
    </row>
    <row r="72" spans="1:7" s="4" customFormat="1" x14ac:dyDescent="0.35">
      <c r="A72" s="6"/>
      <c r="G72" s="69"/>
    </row>
    <row r="73" spans="1:7" s="4" customFormat="1" x14ac:dyDescent="0.35">
      <c r="A73" s="6"/>
      <c r="G73" s="69"/>
    </row>
    <row r="74" spans="1:7" s="4" customFormat="1" x14ac:dyDescent="0.35">
      <c r="A74" s="6"/>
      <c r="G74" s="69"/>
    </row>
    <row r="75" spans="1:7" s="4" customFormat="1" x14ac:dyDescent="0.35">
      <c r="A75" s="6"/>
      <c r="G75" s="69"/>
    </row>
  </sheetData>
  <mergeCells count="10">
    <mergeCell ref="C63:D63"/>
    <mergeCell ref="I63:J63"/>
    <mergeCell ref="C64:D64"/>
    <mergeCell ref="I64:J64"/>
    <mergeCell ref="D1:F1"/>
    <mergeCell ref="B44:C44"/>
    <mergeCell ref="D44:H44"/>
    <mergeCell ref="I44:N44"/>
    <mergeCell ref="B47:B57"/>
    <mergeCell ref="E58:F58"/>
  </mergeCells>
  <conditionalFormatting sqref="P42">
    <cfRule type="cellIs" dxfId="7" priority="1" operator="lessThan">
      <formula>$G$42</formula>
    </cfRule>
    <cfRule type="cellIs" dxfId="6" priority="2" operator="greaterThan">
      <formula>$G$42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DBAC-41D6-4A5F-B82B-44A885A71251}">
  <dimension ref="A1:P69"/>
  <sheetViews>
    <sheetView topLeftCell="A24" zoomScaleNormal="100" workbookViewId="0">
      <selection activeCell="B31" sqref="B31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46155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94</v>
      </c>
      <c r="E5" s="14">
        <v>4</v>
      </c>
      <c r="F5" s="15">
        <v>310</v>
      </c>
      <c r="G5" s="15">
        <f t="shared" ref="G5:G34" si="0">+E5*F5</f>
        <v>1240</v>
      </c>
      <c r="H5" s="16" t="s">
        <v>22</v>
      </c>
      <c r="I5" s="17">
        <f t="shared" ref="I5:I34" si="1">E5</f>
        <v>4</v>
      </c>
      <c r="J5" s="18"/>
      <c r="K5" s="17"/>
      <c r="L5" s="17">
        <f t="shared" ref="L5" si="2">E5</f>
        <v>4</v>
      </c>
      <c r="M5" s="15">
        <f t="shared" ref="M5" si="3">E5-L5</f>
        <v>0</v>
      </c>
      <c r="N5" s="15">
        <f t="shared" ref="N5" si="4">E5*F5</f>
        <v>1240</v>
      </c>
      <c r="O5" s="19">
        <f t="shared" ref="O5" si="5">+K5*F5</f>
        <v>0</v>
      </c>
    </row>
    <row r="6" spans="1:15" s="20" customFormat="1" ht="14.5" customHeight="1" x14ac:dyDescent="0.3">
      <c r="A6" s="11">
        <v>1</v>
      </c>
      <c r="B6" s="12" t="s">
        <v>20</v>
      </c>
      <c r="C6" s="12"/>
      <c r="D6" s="13" t="s">
        <v>122</v>
      </c>
      <c r="E6" s="14">
        <v>7</v>
      </c>
      <c r="F6" s="15">
        <v>350</v>
      </c>
      <c r="G6" s="15">
        <f t="shared" si="0"/>
        <v>2450</v>
      </c>
      <c r="H6" s="16" t="s">
        <v>22</v>
      </c>
      <c r="I6" s="17">
        <f t="shared" si="1"/>
        <v>7</v>
      </c>
      <c r="J6" s="18"/>
      <c r="K6" s="17"/>
      <c r="L6" s="17">
        <f t="shared" ref="L6:L34" si="6">E6</f>
        <v>7</v>
      </c>
      <c r="M6" s="15">
        <f t="shared" ref="M6:M34" si="7">E6-L6</f>
        <v>0</v>
      </c>
      <c r="N6" s="15">
        <f t="shared" ref="N6:N34" si="8">E6*F6</f>
        <v>2450</v>
      </c>
      <c r="O6" s="19">
        <f t="shared" ref="O6:O34" si="9">+K6*F6</f>
        <v>0</v>
      </c>
    </row>
    <row r="7" spans="1:15" s="20" customFormat="1" ht="14.5" customHeight="1" x14ac:dyDescent="0.3">
      <c r="A7" s="11">
        <v>2</v>
      </c>
      <c r="B7" s="23" t="s">
        <v>45</v>
      </c>
      <c r="C7" s="12"/>
      <c r="D7" s="13" t="s">
        <v>94</v>
      </c>
      <c r="E7" s="14">
        <v>5</v>
      </c>
      <c r="F7" s="15">
        <v>310</v>
      </c>
      <c r="G7" s="15">
        <f t="shared" si="0"/>
        <v>1550</v>
      </c>
      <c r="H7" s="16" t="s">
        <v>22</v>
      </c>
      <c r="I7" s="17">
        <f t="shared" si="1"/>
        <v>5</v>
      </c>
      <c r="J7" s="18"/>
      <c r="K7" s="17"/>
      <c r="L7" s="17">
        <f t="shared" si="6"/>
        <v>5</v>
      </c>
      <c r="M7" s="15">
        <f t="shared" si="7"/>
        <v>0</v>
      </c>
      <c r="N7" s="15">
        <f t="shared" si="8"/>
        <v>1550</v>
      </c>
      <c r="O7" s="19">
        <f t="shared" si="9"/>
        <v>0</v>
      </c>
    </row>
    <row r="8" spans="1:15" s="20" customFormat="1" ht="14.5" customHeight="1" x14ac:dyDescent="0.3">
      <c r="A8" s="11">
        <v>2</v>
      </c>
      <c r="B8" s="23" t="s">
        <v>45</v>
      </c>
      <c r="C8" s="12"/>
      <c r="D8" s="13" t="s">
        <v>122</v>
      </c>
      <c r="E8" s="14">
        <v>7</v>
      </c>
      <c r="F8" s="15">
        <v>350</v>
      </c>
      <c r="G8" s="15">
        <f t="shared" si="0"/>
        <v>2450</v>
      </c>
      <c r="H8" s="16" t="s">
        <v>22</v>
      </c>
      <c r="I8" s="17">
        <f t="shared" si="1"/>
        <v>7</v>
      </c>
      <c r="J8" s="18"/>
      <c r="K8" s="17"/>
      <c r="L8" s="17">
        <f t="shared" si="6"/>
        <v>7</v>
      </c>
      <c r="M8" s="15">
        <f t="shared" si="7"/>
        <v>0</v>
      </c>
      <c r="N8" s="15">
        <f t="shared" si="8"/>
        <v>2450</v>
      </c>
      <c r="O8" s="19">
        <f t="shared" si="9"/>
        <v>0</v>
      </c>
    </row>
    <row r="9" spans="1:15" s="20" customFormat="1" ht="14.5" customHeight="1" x14ac:dyDescent="0.3">
      <c r="A9" s="11">
        <v>3</v>
      </c>
      <c r="B9" s="21" t="s">
        <v>24</v>
      </c>
      <c r="C9" s="12"/>
      <c r="D9" s="13" t="s">
        <v>98</v>
      </c>
      <c r="E9" s="14">
        <v>13</v>
      </c>
      <c r="F9" s="15">
        <v>290</v>
      </c>
      <c r="G9" s="15">
        <f t="shared" si="0"/>
        <v>3770</v>
      </c>
      <c r="H9" s="18" t="s">
        <v>38</v>
      </c>
      <c r="I9" s="17">
        <f t="shared" si="1"/>
        <v>13</v>
      </c>
      <c r="J9" s="18"/>
      <c r="K9" s="17"/>
      <c r="L9" s="17">
        <f t="shared" si="6"/>
        <v>13</v>
      </c>
      <c r="M9" s="15">
        <f t="shared" si="7"/>
        <v>0</v>
      </c>
      <c r="N9" s="15">
        <f t="shared" si="8"/>
        <v>3770</v>
      </c>
      <c r="O9" s="19">
        <f t="shared" si="9"/>
        <v>0</v>
      </c>
    </row>
    <row r="10" spans="1:15" s="20" customFormat="1" ht="14.5" customHeight="1" x14ac:dyDescent="0.3">
      <c r="A10" s="11">
        <v>3</v>
      </c>
      <c r="B10" s="22" t="s">
        <v>26</v>
      </c>
      <c r="C10" s="12"/>
      <c r="D10" s="13" t="s">
        <v>98</v>
      </c>
      <c r="E10" s="14">
        <v>1</v>
      </c>
      <c r="F10" s="15">
        <v>290</v>
      </c>
      <c r="G10" s="15">
        <f t="shared" si="0"/>
        <v>290</v>
      </c>
      <c r="H10" s="23" t="s">
        <v>36</v>
      </c>
      <c r="I10" s="17">
        <f t="shared" si="1"/>
        <v>1</v>
      </c>
      <c r="J10" s="18"/>
      <c r="K10" s="17"/>
      <c r="L10" s="17">
        <f t="shared" si="6"/>
        <v>1</v>
      </c>
      <c r="M10" s="15">
        <f t="shared" si="7"/>
        <v>0</v>
      </c>
      <c r="N10" s="15">
        <f t="shared" si="8"/>
        <v>290</v>
      </c>
      <c r="O10" s="19">
        <f t="shared" si="9"/>
        <v>0</v>
      </c>
    </row>
    <row r="11" spans="1:15" s="20" customFormat="1" ht="14.5" customHeight="1" x14ac:dyDescent="0.3">
      <c r="A11" s="11">
        <v>4</v>
      </c>
      <c r="B11" s="23" t="s">
        <v>41</v>
      </c>
      <c r="C11" s="12"/>
      <c r="D11" s="13" t="s">
        <v>98</v>
      </c>
      <c r="E11" s="14">
        <v>13</v>
      </c>
      <c r="F11" s="15">
        <v>290</v>
      </c>
      <c r="G11" s="15">
        <f t="shared" si="0"/>
        <v>3770</v>
      </c>
      <c r="H11" s="18" t="s">
        <v>38</v>
      </c>
      <c r="I11" s="17">
        <f t="shared" si="1"/>
        <v>13</v>
      </c>
      <c r="J11" s="18"/>
      <c r="K11" s="17"/>
      <c r="L11" s="17">
        <f t="shared" si="6"/>
        <v>13</v>
      </c>
      <c r="M11" s="15">
        <f t="shared" si="7"/>
        <v>0</v>
      </c>
      <c r="N11" s="15">
        <f t="shared" si="8"/>
        <v>3770</v>
      </c>
      <c r="O11" s="19">
        <f t="shared" si="9"/>
        <v>0</v>
      </c>
    </row>
    <row r="12" spans="1:15" s="20" customFormat="1" ht="14.5" customHeight="1" x14ac:dyDescent="0.3">
      <c r="A12" s="11">
        <v>5</v>
      </c>
      <c r="B12" s="16" t="s">
        <v>23</v>
      </c>
      <c r="C12" s="12"/>
      <c r="D12" s="13" t="s">
        <v>108</v>
      </c>
      <c r="E12" s="14">
        <v>13</v>
      </c>
      <c r="F12" s="15">
        <v>310</v>
      </c>
      <c r="G12" s="15">
        <f t="shared" si="0"/>
        <v>4030</v>
      </c>
      <c r="H12" s="16" t="s">
        <v>27</v>
      </c>
      <c r="I12" s="17">
        <f t="shared" si="1"/>
        <v>13</v>
      </c>
      <c r="J12" s="18"/>
      <c r="K12" s="17"/>
      <c r="L12" s="17">
        <f t="shared" si="6"/>
        <v>13</v>
      </c>
      <c r="M12" s="15">
        <f t="shared" si="7"/>
        <v>0</v>
      </c>
      <c r="N12" s="15">
        <f t="shared" si="8"/>
        <v>4030</v>
      </c>
      <c r="O12" s="19">
        <f t="shared" si="9"/>
        <v>0</v>
      </c>
    </row>
    <row r="13" spans="1:15" s="20" customFormat="1" ht="14.5" customHeight="1" x14ac:dyDescent="0.3">
      <c r="A13" s="11">
        <v>6</v>
      </c>
      <c r="B13" s="23" t="s">
        <v>32</v>
      </c>
      <c r="C13" s="12"/>
      <c r="D13" s="13" t="s">
        <v>108</v>
      </c>
      <c r="E13" s="14">
        <v>10</v>
      </c>
      <c r="F13" s="15">
        <v>310</v>
      </c>
      <c r="G13" s="15">
        <f t="shared" si="0"/>
        <v>3100</v>
      </c>
      <c r="H13" s="16" t="s">
        <v>27</v>
      </c>
      <c r="I13" s="17">
        <f t="shared" si="1"/>
        <v>10</v>
      </c>
      <c r="J13" s="18"/>
      <c r="K13" s="17"/>
      <c r="L13" s="17">
        <f t="shared" si="6"/>
        <v>10</v>
      </c>
      <c r="M13" s="15">
        <f t="shared" si="7"/>
        <v>0</v>
      </c>
      <c r="N13" s="15">
        <f t="shared" si="8"/>
        <v>3100</v>
      </c>
      <c r="O13" s="19">
        <f t="shared" si="9"/>
        <v>0</v>
      </c>
    </row>
    <row r="14" spans="1:15" s="20" customFormat="1" ht="14.5" customHeight="1" x14ac:dyDescent="0.3">
      <c r="A14" s="11">
        <v>7</v>
      </c>
      <c r="B14" s="23" t="s">
        <v>40</v>
      </c>
      <c r="C14" s="12"/>
      <c r="D14" s="13" t="s">
        <v>123</v>
      </c>
      <c r="E14" s="14">
        <v>8</v>
      </c>
      <c r="F14" s="15">
        <v>500</v>
      </c>
      <c r="G14" s="15">
        <f t="shared" si="0"/>
        <v>4000</v>
      </c>
      <c r="H14" s="12" t="s">
        <v>25</v>
      </c>
      <c r="I14" s="17">
        <f t="shared" si="1"/>
        <v>8</v>
      </c>
      <c r="J14" s="18"/>
      <c r="K14" s="17"/>
      <c r="L14" s="17">
        <f t="shared" si="6"/>
        <v>8</v>
      </c>
      <c r="M14" s="15">
        <f t="shared" si="7"/>
        <v>0</v>
      </c>
      <c r="N14" s="15">
        <f t="shared" si="8"/>
        <v>4000</v>
      </c>
      <c r="O14" s="19">
        <f t="shared" si="9"/>
        <v>0</v>
      </c>
    </row>
    <row r="15" spans="1:15" s="24" customFormat="1" ht="14.5" customHeight="1" x14ac:dyDescent="0.3">
      <c r="A15" s="11">
        <v>8</v>
      </c>
      <c r="B15" s="12" t="s">
        <v>28</v>
      </c>
      <c r="C15" s="12"/>
      <c r="D15" s="13" t="s">
        <v>123</v>
      </c>
      <c r="E15" s="14">
        <v>9</v>
      </c>
      <c r="F15" s="15">
        <v>500</v>
      </c>
      <c r="G15" s="15">
        <f t="shared" si="0"/>
        <v>4500</v>
      </c>
      <c r="H15" s="12" t="s">
        <v>25</v>
      </c>
      <c r="I15" s="17">
        <f t="shared" si="1"/>
        <v>9</v>
      </c>
      <c r="J15" s="18"/>
      <c r="K15" s="17"/>
      <c r="L15" s="17">
        <f t="shared" si="6"/>
        <v>9</v>
      </c>
      <c r="M15" s="15">
        <f t="shared" si="7"/>
        <v>0</v>
      </c>
      <c r="N15" s="15">
        <f t="shared" si="8"/>
        <v>4500</v>
      </c>
      <c r="O15" s="19">
        <f t="shared" si="9"/>
        <v>0</v>
      </c>
    </row>
    <row r="16" spans="1:15" s="24" customFormat="1" ht="14.5" customHeight="1" x14ac:dyDescent="0.3">
      <c r="A16" s="11">
        <v>9</v>
      </c>
      <c r="B16" s="70" t="s">
        <v>84</v>
      </c>
      <c r="C16" s="25" t="s">
        <v>33</v>
      </c>
      <c r="D16" s="13" t="s">
        <v>34</v>
      </c>
      <c r="E16" s="14">
        <v>4</v>
      </c>
      <c r="F16" s="15">
        <v>324</v>
      </c>
      <c r="G16" s="15">
        <f t="shared" si="0"/>
        <v>1296</v>
      </c>
      <c r="H16" s="23" t="s">
        <v>36</v>
      </c>
      <c r="I16" s="17">
        <f t="shared" si="1"/>
        <v>4</v>
      </c>
      <c r="J16" s="18"/>
      <c r="K16" s="17"/>
      <c r="L16" s="17">
        <f t="shared" si="6"/>
        <v>4</v>
      </c>
      <c r="M16" s="15">
        <f t="shared" si="7"/>
        <v>0</v>
      </c>
      <c r="N16" s="15">
        <f t="shared" si="8"/>
        <v>1296</v>
      </c>
      <c r="O16" s="19">
        <f t="shared" si="9"/>
        <v>0</v>
      </c>
    </row>
    <row r="17" spans="1:15" s="24" customFormat="1" ht="14.5" customHeight="1" x14ac:dyDescent="0.3">
      <c r="A17" s="11">
        <v>9</v>
      </c>
      <c r="B17" s="70" t="s">
        <v>84</v>
      </c>
      <c r="C17" s="25" t="s">
        <v>33</v>
      </c>
      <c r="D17" s="13" t="s">
        <v>34</v>
      </c>
      <c r="E17" s="14">
        <v>2</v>
      </c>
      <c r="F17" s="15">
        <v>324</v>
      </c>
      <c r="G17" s="15">
        <f t="shared" si="0"/>
        <v>648</v>
      </c>
      <c r="H17" s="16" t="s">
        <v>29</v>
      </c>
      <c r="I17" s="17">
        <f t="shared" si="1"/>
        <v>2</v>
      </c>
      <c r="J17" s="18"/>
      <c r="K17" s="17"/>
      <c r="L17" s="17">
        <f t="shared" si="6"/>
        <v>2</v>
      </c>
      <c r="M17" s="15">
        <f t="shared" si="7"/>
        <v>0</v>
      </c>
      <c r="N17" s="15">
        <f t="shared" si="8"/>
        <v>648</v>
      </c>
      <c r="O17" s="19">
        <f t="shared" si="9"/>
        <v>0</v>
      </c>
    </row>
    <row r="18" spans="1:15" s="24" customFormat="1" ht="14.5" customHeight="1" x14ac:dyDescent="0.3">
      <c r="A18" s="11">
        <v>9</v>
      </c>
      <c r="B18" s="70" t="s">
        <v>84</v>
      </c>
      <c r="C18" s="25" t="s">
        <v>33</v>
      </c>
      <c r="D18" s="13" t="s">
        <v>34</v>
      </c>
      <c r="E18" s="14">
        <v>2</v>
      </c>
      <c r="F18" s="15">
        <v>324</v>
      </c>
      <c r="G18" s="15">
        <f t="shared" si="0"/>
        <v>648</v>
      </c>
      <c r="H18" s="71" t="s">
        <v>91</v>
      </c>
      <c r="I18" s="17">
        <f t="shared" si="1"/>
        <v>2</v>
      </c>
      <c r="J18" s="18"/>
      <c r="K18" s="17"/>
      <c r="L18" s="17">
        <f t="shared" si="6"/>
        <v>2</v>
      </c>
      <c r="M18" s="15">
        <f t="shared" si="7"/>
        <v>0</v>
      </c>
      <c r="N18" s="15">
        <f t="shared" si="8"/>
        <v>648</v>
      </c>
      <c r="O18" s="19">
        <f t="shared" si="9"/>
        <v>0</v>
      </c>
    </row>
    <row r="19" spans="1:15" s="24" customFormat="1" ht="14.5" customHeight="1" x14ac:dyDescent="0.3">
      <c r="A19" s="11">
        <v>10</v>
      </c>
      <c r="B19" s="26" t="s">
        <v>35</v>
      </c>
      <c r="C19" s="12"/>
      <c r="D19" s="13" t="s">
        <v>34</v>
      </c>
      <c r="E19" s="14">
        <v>5</v>
      </c>
      <c r="F19" s="15">
        <v>324</v>
      </c>
      <c r="G19" s="15">
        <f t="shared" si="0"/>
        <v>1620</v>
      </c>
      <c r="H19" s="23" t="s">
        <v>114</v>
      </c>
      <c r="I19" s="17">
        <f t="shared" si="1"/>
        <v>5</v>
      </c>
      <c r="J19" s="18"/>
      <c r="K19" s="17"/>
      <c r="L19" s="17">
        <f t="shared" si="6"/>
        <v>5</v>
      </c>
      <c r="M19" s="15">
        <f t="shared" si="7"/>
        <v>0</v>
      </c>
      <c r="N19" s="15">
        <f t="shared" si="8"/>
        <v>1620</v>
      </c>
      <c r="O19" s="19">
        <f t="shared" si="9"/>
        <v>0</v>
      </c>
    </row>
    <row r="20" spans="1:15" s="24" customFormat="1" ht="14.5" customHeight="1" x14ac:dyDescent="0.3">
      <c r="A20" s="11">
        <v>11</v>
      </c>
      <c r="B20" s="12" t="s">
        <v>30</v>
      </c>
      <c r="C20" s="12"/>
      <c r="D20" s="13" t="s">
        <v>115</v>
      </c>
      <c r="E20" s="14">
        <v>14</v>
      </c>
      <c r="F20" s="15">
        <v>330</v>
      </c>
      <c r="G20" s="15">
        <f t="shared" si="0"/>
        <v>4620</v>
      </c>
      <c r="H20" s="23" t="s">
        <v>114</v>
      </c>
      <c r="I20" s="17">
        <f t="shared" si="1"/>
        <v>14</v>
      </c>
      <c r="J20" s="18"/>
      <c r="K20" s="17"/>
      <c r="L20" s="17">
        <f t="shared" si="6"/>
        <v>14</v>
      </c>
      <c r="M20" s="15">
        <f t="shared" si="7"/>
        <v>0</v>
      </c>
      <c r="N20" s="15">
        <f t="shared" si="8"/>
        <v>4620</v>
      </c>
      <c r="O20" s="19">
        <f t="shared" si="9"/>
        <v>0</v>
      </c>
    </row>
    <row r="21" spans="1:15" s="24" customFormat="1" ht="14.5" customHeight="1" x14ac:dyDescent="0.3">
      <c r="A21" s="11">
        <v>12</v>
      </c>
      <c r="B21" s="12" t="s">
        <v>44</v>
      </c>
      <c r="C21" s="12"/>
      <c r="D21" s="13" t="s">
        <v>115</v>
      </c>
      <c r="E21" s="14">
        <v>10</v>
      </c>
      <c r="F21" s="15">
        <v>330</v>
      </c>
      <c r="G21" s="15">
        <f t="shared" si="0"/>
        <v>3300</v>
      </c>
      <c r="H21" s="23" t="s">
        <v>114</v>
      </c>
      <c r="I21" s="17">
        <f t="shared" si="1"/>
        <v>10</v>
      </c>
      <c r="J21" s="18"/>
      <c r="K21" s="17"/>
      <c r="L21" s="17">
        <f t="shared" si="6"/>
        <v>10</v>
      </c>
      <c r="M21" s="15">
        <f t="shared" si="7"/>
        <v>0</v>
      </c>
      <c r="N21" s="15">
        <f t="shared" si="8"/>
        <v>3300</v>
      </c>
      <c r="O21" s="19">
        <f t="shared" si="9"/>
        <v>0</v>
      </c>
    </row>
    <row r="22" spans="1:15" s="24" customFormat="1" ht="14.5" customHeight="1" x14ac:dyDescent="0.3">
      <c r="A22" s="11">
        <v>13</v>
      </c>
      <c r="B22" s="23" t="s">
        <v>49</v>
      </c>
      <c r="C22" s="12"/>
      <c r="D22" s="13" t="s">
        <v>115</v>
      </c>
      <c r="E22" s="14">
        <v>12.5</v>
      </c>
      <c r="F22" s="15">
        <v>330</v>
      </c>
      <c r="G22" s="15">
        <f t="shared" si="0"/>
        <v>4125</v>
      </c>
      <c r="H22" s="16" t="s">
        <v>80</v>
      </c>
      <c r="I22" s="17">
        <f t="shared" si="1"/>
        <v>12.5</v>
      </c>
      <c r="J22" s="18"/>
      <c r="K22" s="17"/>
      <c r="L22" s="17">
        <f t="shared" si="6"/>
        <v>12.5</v>
      </c>
      <c r="M22" s="15">
        <f t="shared" si="7"/>
        <v>0</v>
      </c>
      <c r="N22" s="15">
        <f t="shared" si="8"/>
        <v>4125</v>
      </c>
      <c r="O22" s="19">
        <f t="shared" si="9"/>
        <v>0</v>
      </c>
    </row>
    <row r="23" spans="1:15" s="24" customFormat="1" ht="14.5" customHeight="1" x14ac:dyDescent="0.3">
      <c r="A23" s="11">
        <v>13</v>
      </c>
      <c r="B23" s="23" t="s">
        <v>49</v>
      </c>
      <c r="C23" s="12"/>
      <c r="D23" s="13" t="s">
        <v>115</v>
      </c>
      <c r="E23" s="14">
        <v>0.5</v>
      </c>
      <c r="F23" s="15">
        <v>330</v>
      </c>
      <c r="G23" s="15">
        <f t="shared" si="0"/>
        <v>165</v>
      </c>
      <c r="H23" s="23" t="s">
        <v>36</v>
      </c>
      <c r="I23" s="17">
        <f t="shared" si="1"/>
        <v>0.5</v>
      </c>
      <c r="J23" s="18"/>
      <c r="K23" s="17"/>
      <c r="L23" s="17">
        <f t="shared" si="6"/>
        <v>0.5</v>
      </c>
      <c r="M23" s="15">
        <f t="shared" si="7"/>
        <v>0</v>
      </c>
      <c r="N23" s="15">
        <f t="shared" si="8"/>
        <v>165</v>
      </c>
      <c r="O23" s="19">
        <f t="shared" si="9"/>
        <v>0</v>
      </c>
    </row>
    <row r="24" spans="1:15" s="24" customFormat="1" ht="14.5" customHeight="1" x14ac:dyDescent="0.3">
      <c r="A24" s="11">
        <v>14</v>
      </c>
      <c r="B24" s="12" t="s">
        <v>48</v>
      </c>
      <c r="C24" s="27"/>
      <c r="D24" s="13" t="s">
        <v>115</v>
      </c>
      <c r="E24" s="14">
        <v>12</v>
      </c>
      <c r="F24" s="15">
        <v>330</v>
      </c>
      <c r="G24" s="15">
        <f t="shared" si="0"/>
        <v>3960</v>
      </c>
      <c r="H24" s="16" t="s">
        <v>80</v>
      </c>
      <c r="I24" s="17">
        <f t="shared" si="1"/>
        <v>12</v>
      </c>
      <c r="J24" s="18"/>
      <c r="K24" s="17"/>
      <c r="L24" s="17">
        <f t="shared" si="6"/>
        <v>12</v>
      </c>
      <c r="M24" s="15">
        <f t="shared" si="7"/>
        <v>0</v>
      </c>
      <c r="N24" s="15">
        <f t="shared" si="8"/>
        <v>3960</v>
      </c>
      <c r="O24" s="19">
        <f t="shared" si="9"/>
        <v>0</v>
      </c>
    </row>
    <row r="25" spans="1:15" s="20" customFormat="1" ht="13" customHeight="1" x14ac:dyDescent="0.3">
      <c r="A25" s="11">
        <v>15</v>
      </c>
      <c r="B25" s="12" t="s">
        <v>39</v>
      </c>
      <c r="C25" s="27"/>
      <c r="D25" s="13" t="s">
        <v>97</v>
      </c>
      <c r="E25" s="14">
        <v>9</v>
      </c>
      <c r="F25" s="15">
        <v>390</v>
      </c>
      <c r="G25" s="15">
        <f t="shared" si="0"/>
        <v>3510</v>
      </c>
      <c r="H25" s="23" t="s">
        <v>36</v>
      </c>
      <c r="I25" s="17">
        <f t="shared" si="1"/>
        <v>9</v>
      </c>
      <c r="J25" s="18"/>
      <c r="K25" s="17"/>
      <c r="L25" s="17">
        <f t="shared" si="6"/>
        <v>9</v>
      </c>
      <c r="M25" s="15">
        <f t="shared" si="7"/>
        <v>0</v>
      </c>
      <c r="N25" s="15">
        <f t="shared" si="8"/>
        <v>3510</v>
      </c>
      <c r="O25" s="19">
        <f t="shared" si="9"/>
        <v>0</v>
      </c>
    </row>
    <row r="26" spans="1:15" s="20" customFormat="1" ht="13" customHeight="1" x14ac:dyDescent="0.3">
      <c r="A26" s="11">
        <v>16</v>
      </c>
      <c r="B26" s="22" t="s">
        <v>26</v>
      </c>
      <c r="C26" s="12"/>
      <c r="D26" s="13" t="s">
        <v>97</v>
      </c>
      <c r="E26" s="14">
        <v>9</v>
      </c>
      <c r="F26" s="15">
        <v>390</v>
      </c>
      <c r="G26" s="15">
        <f t="shared" si="0"/>
        <v>3510</v>
      </c>
      <c r="H26" s="23" t="s">
        <v>36</v>
      </c>
      <c r="I26" s="17">
        <f t="shared" si="1"/>
        <v>9</v>
      </c>
      <c r="J26" s="18"/>
      <c r="K26" s="17"/>
      <c r="L26" s="17">
        <f t="shared" si="6"/>
        <v>9</v>
      </c>
      <c r="M26" s="15">
        <f t="shared" si="7"/>
        <v>0</v>
      </c>
      <c r="N26" s="15">
        <f t="shared" si="8"/>
        <v>3510</v>
      </c>
      <c r="O26" s="19">
        <f t="shared" si="9"/>
        <v>0</v>
      </c>
    </row>
    <row r="27" spans="1:15" s="4" customFormat="1" ht="13" customHeight="1" x14ac:dyDescent="0.3">
      <c r="A27" s="28">
        <v>17</v>
      </c>
      <c r="B27" s="26" t="s">
        <v>85</v>
      </c>
      <c r="C27" s="12"/>
      <c r="D27" s="13" t="s">
        <v>98</v>
      </c>
      <c r="E27" s="14">
        <v>7</v>
      </c>
      <c r="F27" s="15">
        <v>290</v>
      </c>
      <c r="G27" s="15">
        <f t="shared" si="0"/>
        <v>2030</v>
      </c>
      <c r="H27" s="12" t="s">
        <v>37</v>
      </c>
      <c r="I27" s="17">
        <f t="shared" si="1"/>
        <v>7</v>
      </c>
      <c r="J27" s="18"/>
      <c r="K27" s="17"/>
      <c r="L27" s="17">
        <f t="shared" si="6"/>
        <v>7</v>
      </c>
      <c r="M27" s="15">
        <f t="shared" si="7"/>
        <v>0</v>
      </c>
      <c r="N27" s="15">
        <f t="shared" si="8"/>
        <v>2030</v>
      </c>
      <c r="O27" s="19">
        <f t="shared" si="9"/>
        <v>0</v>
      </c>
    </row>
    <row r="28" spans="1:15" s="4" customFormat="1" ht="13" customHeight="1" x14ac:dyDescent="0.3">
      <c r="A28" s="28">
        <v>18</v>
      </c>
      <c r="B28" s="26" t="s">
        <v>46</v>
      </c>
      <c r="C28" s="27"/>
      <c r="D28" s="13" t="s">
        <v>98</v>
      </c>
      <c r="E28" s="14">
        <v>8</v>
      </c>
      <c r="F28" s="15">
        <v>290</v>
      </c>
      <c r="G28" s="15">
        <f t="shared" si="0"/>
        <v>2320</v>
      </c>
      <c r="H28" s="12" t="s">
        <v>37</v>
      </c>
      <c r="I28" s="17">
        <f t="shared" si="1"/>
        <v>8</v>
      </c>
      <c r="J28" s="18"/>
      <c r="K28" s="17"/>
      <c r="L28" s="17">
        <f t="shared" si="6"/>
        <v>8</v>
      </c>
      <c r="M28" s="15">
        <f t="shared" si="7"/>
        <v>0</v>
      </c>
      <c r="N28" s="15">
        <f t="shared" si="8"/>
        <v>2320</v>
      </c>
      <c r="O28" s="19">
        <f t="shared" si="9"/>
        <v>0</v>
      </c>
    </row>
    <row r="29" spans="1:15" s="4" customFormat="1" ht="13" customHeight="1" x14ac:dyDescent="0.3">
      <c r="A29" s="28">
        <v>19</v>
      </c>
      <c r="B29" s="29" t="s">
        <v>47</v>
      </c>
      <c r="C29" s="27"/>
      <c r="D29" s="13" t="s">
        <v>119</v>
      </c>
      <c r="E29" s="14">
        <v>13</v>
      </c>
      <c r="F29" s="15">
        <v>300</v>
      </c>
      <c r="G29" s="15">
        <f t="shared" si="0"/>
        <v>3900</v>
      </c>
      <c r="H29" s="16" t="s">
        <v>29</v>
      </c>
      <c r="I29" s="17">
        <f t="shared" si="1"/>
        <v>13</v>
      </c>
      <c r="J29" s="18"/>
      <c r="K29" s="17"/>
      <c r="L29" s="17">
        <f t="shared" si="6"/>
        <v>13</v>
      </c>
      <c r="M29" s="15">
        <f t="shared" si="7"/>
        <v>0</v>
      </c>
      <c r="N29" s="15">
        <f t="shared" si="8"/>
        <v>3900</v>
      </c>
      <c r="O29" s="19">
        <f t="shared" si="9"/>
        <v>0</v>
      </c>
    </row>
    <row r="30" spans="1:15" s="4" customFormat="1" ht="13" customHeight="1" x14ac:dyDescent="0.3">
      <c r="A30" s="28">
        <v>20</v>
      </c>
      <c r="B30" s="26" t="s">
        <v>110</v>
      </c>
      <c r="C30" s="70" t="s">
        <v>82</v>
      </c>
      <c r="D30" s="13" t="s">
        <v>119</v>
      </c>
      <c r="E30" s="14">
        <v>12</v>
      </c>
      <c r="F30" s="15">
        <v>300</v>
      </c>
      <c r="G30" s="15">
        <f t="shared" si="0"/>
        <v>3600</v>
      </c>
      <c r="H30" s="16" t="s">
        <v>29</v>
      </c>
      <c r="I30" s="17">
        <f t="shared" si="1"/>
        <v>12</v>
      </c>
      <c r="J30" s="18"/>
      <c r="K30" s="17"/>
      <c r="L30" s="17">
        <f t="shared" si="6"/>
        <v>12</v>
      </c>
      <c r="M30" s="15">
        <f t="shared" si="7"/>
        <v>0</v>
      </c>
      <c r="N30" s="15">
        <f t="shared" si="8"/>
        <v>3600</v>
      </c>
      <c r="O30" s="19">
        <f t="shared" si="9"/>
        <v>0</v>
      </c>
    </row>
    <row r="31" spans="1:15" s="4" customFormat="1" ht="13" customHeight="1" x14ac:dyDescent="0.3">
      <c r="A31" s="28">
        <v>21</v>
      </c>
      <c r="B31" s="23" t="s">
        <v>86</v>
      </c>
      <c r="C31" s="12"/>
      <c r="D31" s="13" t="s">
        <v>119</v>
      </c>
      <c r="E31" s="14">
        <v>10</v>
      </c>
      <c r="F31" s="15">
        <v>300</v>
      </c>
      <c r="G31" s="15">
        <f t="shared" si="0"/>
        <v>3000</v>
      </c>
      <c r="H31" s="12" t="s">
        <v>37</v>
      </c>
      <c r="I31" s="17">
        <f t="shared" si="1"/>
        <v>10</v>
      </c>
      <c r="J31" s="18"/>
      <c r="K31" s="17"/>
      <c r="L31" s="17">
        <f t="shared" si="6"/>
        <v>10</v>
      </c>
      <c r="M31" s="15">
        <f t="shared" si="7"/>
        <v>0</v>
      </c>
      <c r="N31" s="15">
        <f t="shared" si="8"/>
        <v>3000</v>
      </c>
      <c r="O31" s="19">
        <f t="shared" si="9"/>
        <v>0</v>
      </c>
    </row>
    <row r="32" spans="1:15" s="4" customFormat="1" ht="13" customHeight="1" x14ac:dyDescent="0.3">
      <c r="A32" s="30">
        <v>22</v>
      </c>
      <c r="B32" s="26" t="s">
        <v>79</v>
      </c>
      <c r="C32" s="12"/>
      <c r="D32" s="13" t="s">
        <v>119</v>
      </c>
      <c r="E32" s="14">
        <v>2</v>
      </c>
      <c r="F32" s="15">
        <v>300</v>
      </c>
      <c r="G32" s="15">
        <f t="shared" si="0"/>
        <v>600</v>
      </c>
      <c r="H32" s="18" t="s">
        <v>38</v>
      </c>
      <c r="I32" s="17">
        <f t="shared" si="1"/>
        <v>2</v>
      </c>
      <c r="J32" s="18"/>
      <c r="K32" s="17"/>
      <c r="L32" s="17">
        <f t="shared" si="6"/>
        <v>2</v>
      </c>
      <c r="M32" s="15">
        <f t="shared" si="7"/>
        <v>0</v>
      </c>
      <c r="N32" s="15">
        <f t="shared" si="8"/>
        <v>600</v>
      </c>
      <c r="O32" s="19">
        <f t="shared" si="9"/>
        <v>0</v>
      </c>
    </row>
    <row r="33" spans="1:16" s="4" customFormat="1" ht="13" customHeight="1" x14ac:dyDescent="0.3">
      <c r="A33" s="30">
        <v>22</v>
      </c>
      <c r="B33" s="26" t="s">
        <v>79</v>
      </c>
      <c r="C33" s="12"/>
      <c r="D33" s="13" t="s">
        <v>119</v>
      </c>
      <c r="E33" s="14">
        <v>2</v>
      </c>
      <c r="F33" s="15">
        <v>300</v>
      </c>
      <c r="G33" s="15">
        <f t="shared" si="0"/>
        <v>600</v>
      </c>
      <c r="H33" s="16" t="s">
        <v>80</v>
      </c>
      <c r="I33" s="17">
        <f t="shared" si="1"/>
        <v>2</v>
      </c>
      <c r="J33" s="18"/>
      <c r="K33" s="17"/>
      <c r="L33" s="17">
        <f t="shared" si="6"/>
        <v>2</v>
      </c>
      <c r="M33" s="15">
        <f t="shared" si="7"/>
        <v>0</v>
      </c>
      <c r="N33" s="15">
        <f t="shared" si="8"/>
        <v>600</v>
      </c>
      <c r="O33" s="19">
        <f t="shared" si="9"/>
        <v>0</v>
      </c>
    </row>
    <row r="34" spans="1:16" s="4" customFormat="1" ht="13" customHeight="1" x14ac:dyDescent="0.3">
      <c r="A34" s="31">
        <v>23</v>
      </c>
      <c r="B34" s="26" t="s">
        <v>50</v>
      </c>
      <c r="C34" s="12"/>
      <c r="D34" s="13" t="s">
        <v>119</v>
      </c>
      <c r="E34" s="14">
        <v>22</v>
      </c>
      <c r="F34" s="15">
        <v>300</v>
      </c>
      <c r="G34" s="15">
        <f t="shared" si="0"/>
        <v>6600</v>
      </c>
      <c r="H34" s="26" t="s">
        <v>50</v>
      </c>
      <c r="I34" s="17">
        <f t="shared" si="1"/>
        <v>22</v>
      </c>
      <c r="J34" s="18"/>
      <c r="K34" s="17"/>
      <c r="L34" s="17">
        <f t="shared" si="6"/>
        <v>22</v>
      </c>
      <c r="M34" s="15">
        <f t="shared" si="7"/>
        <v>0</v>
      </c>
      <c r="N34" s="15">
        <f t="shared" si="8"/>
        <v>6600</v>
      </c>
      <c r="O34" s="19">
        <f t="shared" si="9"/>
        <v>0</v>
      </c>
    </row>
    <row r="36" spans="1:16" ht="20.149999999999999" customHeight="1" x14ac:dyDescent="0.35">
      <c r="E36" s="32">
        <f>SUM(E5:E34)</f>
        <v>246</v>
      </c>
      <c r="G36" s="33">
        <f>SUM(G5:G34)</f>
        <v>81202</v>
      </c>
      <c r="N36" s="33">
        <f>SUM(N5:N34)</f>
        <v>81202</v>
      </c>
      <c r="O36" s="33">
        <f>SUM(O15:O35)</f>
        <v>0</v>
      </c>
      <c r="P36" s="34">
        <f>+O36+N36</f>
        <v>81202</v>
      </c>
    </row>
    <row r="37" spans="1:16" s="4" customFormat="1" ht="15" thickBot="1" x14ac:dyDescent="0.4">
      <c r="A37" s="6"/>
    </row>
    <row r="38" spans="1:16" s="4" customFormat="1" ht="15" thickBot="1" x14ac:dyDescent="0.4">
      <c r="A38" s="6"/>
      <c r="B38" s="79" t="s">
        <v>52</v>
      </c>
      <c r="C38" s="80"/>
      <c r="D38" s="81" t="s">
        <v>53</v>
      </c>
      <c r="E38" s="82"/>
      <c r="F38" s="82"/>
      <c r="G38" s="82"/>
      <c r="H38" s="83"/>
      <c r="I38" s="81">
        <v>0</v>
      </c>
      <c r="J38" s="82"/>
      <c r="K38" s="82"/>
      <c r="L38" s="82"/>
      <c r="M38" s="82"/>
      <c r="N38" s="83"/>
    </row>
    <row r="39" spans="1:16" s="4" customFormat="1" ht="19.5" customHeight="1" x14ac:dyDescent="0.35">
      <c r="A39" s="6"/>
      <c r="B39" s="38" t="s">
        <v>54</v>
      </c>
      <c r="C39" s="39">
        <v>25</v>
      </c>
      <c r="D39" s="40" t="s">
        <v>55</v>
      </c>
      <c r="E39" s="41" t="s">
        <v>56</v>
      </c>
      <c r="F39" s="41" t="s">
        <v>57</v>
      </c>
      <c r="G39" s="41" t="s">
        <v>58</v>
      </c>
      <c r="H39" s="42" t="s">
        <v>59</v>
      </c>
      <c r="I39" s="40" t="s">
        <v>56</v>
      </c>
      <c r="J39" s="41" t="s">
        <v>60</v>
      </c>
      <c r="K39" s="41" t="s">
        <v>55</v>
      </c>
      <c r="L39" s="41"/>
      <c r="M39" s="41"/>
      <c r="N39" s="42" t="s">
        <v>59</v>
      </c>
    </row>
    <row r="40" spans="1:16" s="4" customFormat="1" ht="15" thickBot="1" x14ac:dyDescent="0.35">
      <c r="A40" s="6"/>
      <c r="B40" s="43" t="s">
        <v>61</v>
      </c>
      <c r="C40" s="44">
        <v>9</v>
      </c>
      <c r="D40" s="13" t="s">
        <v>122</v>
      </c>
      <c r="E40" s="45" t="s">
        <v>100</v>
      </c>
      <c r="F40" s="34">
        <f>SUM(E6,E8)</f>
        <v>14</v>
      </c>
      <c r="G40" s="34">
        <v>350</v>
      </c>
      <c r="H40" s="19">
        <f>F40*G40</f>
        <v>4900</v>
      </c>
      <c r="I40" s="46">
        <v>1</v>
      </c>
      <c r="J40" s="16" t="s">
        <v>63</v>
      </c>
      <c r="K40" s="47" t="s">
        <v>118</v>
      </c>
      <c r="L40" s="14">
        <v>6</v>
      </c>
      <c r="M40" s="48">
        <v>550</v>
      </c>
      <c r="N40" s="49">
        <f>M40*L40</f>
        <v>3300</v>
      </c>
    </row>
    <row r="41" spans="1:16" s="4" customFormat="1" x14ac:dyDescent="0.3">
      <c r="A41" s="75"/>
      <c r="B41" s="84"/>
      <c r="C41" s="51"/>
      <c r="D41" s="13" t="s">
        <v>108</v>
      </c>
      <c r="E41" s="45" t="s">
        <v>102</v>
      </c>
      <c r="F41" s="34">
        <f>SUM(E12:E13)</f>
        <v>23</v>
      </c>
      <c r="G41" s="34">
        <v>310</v>
      </c>
      <c r="H41" s="19">
        <f t="shared" ref="H41:H51" si="10">F41*G41</f>
        <v>7130</v>
      </c>
      <c r="I41" s="46">
        <v>2</v>
      </c>
      <c r="J41" s="16" t="s">
        <v>66</v>
      </c>
      <c r="K41" s="47" t="s">
        <v>118</v>
      </c>
      <c r="L41" s="14">
        <v>6</v>
      </c>
      <c r="M41" s="48">
        <v>550</v>
      </c>
      <c r="N41" s="49">
        <f t="shared" ref="N41:N42" si="11">M41*L41</f>
        <v>3300</v>
      </c>
    </row>
    <row r="42" spans="1:16" s="4" customFormat="1" ht="12.5" customHeight="1" x14ac:dyDescent="0.3">
      <c r="A42" s="6"/>
      <c r="B42" s="84"/>
      <c r="C42" s="51"/>
      <c r="D42" s="13" t="s">
        <v>123</v>
      </c>
      <c r="E42" s="45" t="s">
        <v>103</v>
      </c>
      <c r="F42" s="34">
        <f>SUM(E14:E15)</f>
        <v>17</v>
      </c>
      <c r="G42" s="34">
        <v>500</v>
      </c>
      <c r="H42" s="19">
        <f t="shared" si="10"/>
        <v>8500</v>
      </c>
      <c r="I42" s="46">
        <v>3</v>
      </c>
      <c r="J42" s="12" t="s">
        <v>68</v>
      </c>
      <c r="K42" s="47" t="s">
        <v>118</v>
      </c>
      <c r="L42" s="14">
        <v>6</v>
      </c>
      <c r="M42" s="48">
        <v>550</v>
      </c>
      <c r="N42" s="49">
        <f t="shared" si="11"/>
        <v>3300</v>
      </c>
    </row>
    <row r="43" spans="1:16" s="4" customFormat="1" ht="15" thickBot="1" x14ac:dyDescent="0.35">
      <c r="A43" s="6"/>
      <c r="B43" s="84"/>
      <c r="C43" s="51"/>
      <c r="D43" s="13" t="s">
        <v>34</v>
      </c>
      <c r="E43" s="45" t="s">
        <v>67</v>
      </c>
      <c r="F43" s="34">
        <f>SUM(E16:E19)</f>
        <v>13</v>
      </c>
      <c r="G43" s="34">
        <v>324</v>
      </c>
      <c r="H43" s="19">
        <f t="shared" si="10"/>
        <v>4212</v>
      </c>
      <c r="I43" s="46"/>
      <c r="J43" s="16"/>
      <c r="K43" s="47"/>
      <c r="L43" s="14"/>
      <c r="M43" s="48"/>
      <c r="N43" s="53">
        <f>M43*L43</f>
        <v>0</v>
      </c>
    </row>
    <row r="44" spans="1:16" s="4" customFormat="1" ht="12" customHeight="1" x14ac:dyDescent="0.3">
      <c r="A44" s="6"/>
      <c r="B44" s="84"/>
      <c r="D44" s="13" t="s">
        <v>115</v>
      </c>
      <c r="E44" s="45" t="s">
        <v>116</v>
      </c>
      <c r="F44" s="34">
        <f>SUM(E20:E24)</f>
        <v>49</v>
      </c>
      <c r="G44" s="34">
        <v>330</v>
      </c>
      <c r="H44" s="19">
        <f t="shared" si="10"/>
        <v>16170</v>
      </c>
      <c r="I44" s="54"/>
      <c r="J44" s="55"/>
      <c r="K44" s="56"/>
      <c r="L44" s="6"/>
      <c r="M44" s="54"/>
      <c r="N44" s="57">
        <f>N40+N41+N42</f>
        <v>9900</v>
      </c>
    </row>
    <row r="45" spans="1:16" s="4" customFormat="1" ht="12" customHeight="1" x14ac:dyDescent="0.3">
      <c r="A45" s="6"/>
      <c r="B45" s="84"/>
      <c r="D45" s="13" t="s">
        <v>97</v>
      </c>
      <c r="E45" s="45" t="s">
        <v>105</v>
      </c>
      <c r="F45" s="34">
        <f>SUM(E25:E26)</f>
        <v>18</v>
      </c>
      <c r="G45" s="34">
        <v>390</v>
      </c>
      <c r="H45" s="19">
        <f t="shared" si="10"/>
        <v>7020</v>
      </c>
      <c r="I45" s="54"/>
      <c r="J45" s="55"/>
      <c r="K45" s="56"/>
      <c r="L45" s="6"/>
      <c r="M45" s="54"/>
      <c r="N45" s="54"/>
    </row>
    <row r="46" spans="1:16" s="4" customFormat="1" ht="14" customHeight="1" thickBot="1" x14ac:dyDescent="0.35">
      <c r="A46" s="6"/>
      <c r="B46" s="84"/>
      <c r="D46" s="13" t="s">
        <v>98</v>
      </c>
      <c r="E46" s="45" t="s">
        <v>106</v>
      </c>
      <c r="F46" s="34">
        <f>SUM(E9:E11,E27:E28)</f>
        <v>42</v>
      </c>
      <c r="G46" s="34">
        <v>290</v>
      </c>
      <c r="H46" s="19">
        <f t="shared" si="10"/>
        <v>12180</v>
      </c>
      <c r="N46" s="58"/>
    </row>
    <row r="47" spans="1:16" s="4" customFormat="1" x14ac:dyDescent="0.3">
      <c r="A47" s="6"/>
      <c r="B47" s="84"/>
      <c r="D47" s="13" t="s">
        <v>119</v>
      </c>
      <c r="E47" s="45" t="s">
        <v>120</v>
      </c>
      <c r="F47" s="34">
        <f>SUM(E29:E34)</f>
        <v>61</v>
      </c>
      <c r="G47" s="34">
        <v>300</v>
      </c>
      <c r="H47" s="19">
        <f t="shared" si="10"/>
        <v>18300</v>
      </c>
      <c r="I47" s="35" t="s">
        <v>70</v>
      </c>
      <c r="J47" s="36"/>
      <c r="K47" s="36"/>
      <c r="L47" s="36"/>
      <c r="M47" s="36"/>
      <c r="N47" s="37"/>
    </row>
    <row r="48" spans="1:16" s="4" customFormat="1" ht="14" customHeight="1" x14ac:dyDescent="0.3">
      <c r="B48" s="84"/>
      <c r="C48" s="59"/>
      <c r="D48" s="13"/>
      <c r="E48" s="45"/>
      <c r="F48" s="34"/>
      <c r="G48" s="34"/>
      <c r="H48" s="52">
        <f t="shared" si="10"/>
        <v>0</v>
      </c>
      <c r="I48" s="60" t="s">
        <v>56</v>
      </c>
      <c r="J48" s="61" t="s">
        <v>72</v>
      </c>
      <c r="K48" s="61" t="s">
        <v>55</v>
      </c>
      <c r="L48" s="61" t="s">
        <v>3</v>
      </c>
      <c r="M48" s="61" t="s">
        <v>58</v>
      </c>
      <c r="N48" s="62" t="s">
        <v>59</v>
      </c>
    </row>
    <row r="49" spans="1:14" s="4" customFormat="1" x14ac:dyDescent="0.3">
      <c r="B49" s="84"/>
      <c r="D49" s="13" t="s">
        <v>94</v>
      </c>
      <c r="E49" s="45" t="s">
        <v>100</v>
      </c>
      <c r="F49" s="34">
        <f>SUM(E5,E7)</f>
        <v>9</v>
      </c>
      <c r="G49" s="34">
        <v>310</v>
      </c>
      <c r="H49" s="52">
        <f t="shared" si="10"/>
        <v>2790</v>
      </c>
      <c r="I49" s="63">
        <v>1</v>
      </c>
      <c r="J49" s="64" t="s">
        <v>73</v>
      </c>
      <c r="K49" s="48" t="s">
        <v>74</v>
      </c>
      <c r="L49" s="34">
        <v>39</v>
      </c>
      <c r="M49" s="48">
        <v>1000</v>
      </c>
      <c r="N49" s="49">
        <f t="shared" ref="N49:N50" si="12">L49*M49</f>
        <v>39000</v>
      </c>
    </row>
    <row r="50" spans="1:14" s="4" customFormat="1" x14ac:dyDescent="0.3">
      <c r="B50" s="84"/>
      <c r="D50" s="13"/>
      <c r="E50" s="45"/>
      <c r="F50" s="34"/>
      <c r="G50" s="34"/>
      <c r="H50" s="52">
        <f t="shared" si="10"/>
        <v>0</v>
      </c>
      <c r="I50" s="46">
        <v>2</v>
      </c>
      <c r="J50" s="64" t="s">
        <v>75</v>
      </c>
      <c r="K50" s="48" t="s">
        <v>74</v>
      </c>
      <c r="L50" s="34">
        <v>39</v>
      </c>
      <c r="M50" s="48">
        <v>1000</v>
      </c>
      <c r="N50" s="49">
        <f t="shared" si="12"/>
        <v>39000</v>
      </c>
    </row>
    <row r="51" spans="1:14" s="4" customFormat="1" ht="15" thickBot="1" x14ac:dyDescent="0.35">
      <c r="B51" s="84"/>
      <c r="D51" s="13"/>
      <c r="E51" s="45"/>
      <c r="F51" s="34"/>
      <c r="G51" s="34"/>
      <c r="H51" s="52">
        <f t="shared" si="10"/>
        <v>0</v>
      </c>
      <c r="I51" s="46">
        <v>3</v>
      </c>
      <c r="J51" s="65" t="s">
        <v>121</v>
      </c>
      <c r="K51" s="48" t="s">
        <v>74</v>
      </c>
      <c r="L51" s="34"/>
      <c r="M51" s="48">
        <v>1000</v>
      </c>
      <c r="N51" s="49">
        <f>L51*M51</f>
        <v>0</v>
      </c>
    </row>
    <row r="52" spans="1:14" s="4" customFormat="1" x14ac:dyDescent="0.35">
      <c r="E52" s="85" t="s">
        <v>59</v>
      </c>
      <c r="F52" s="86"/>
      <c r="G52" s="66">
        <f>SUM(F40:F51)</f>
        <v>246</v>
      </c>
      <c r="H52" s="33">
        <f>SUM(H40:H51)</f>
        <v>81202</v>
      </c>
      <c r="L52" s="4">
        <f>SUM(L49:L51)</f>
        <v>78</v>
      </c>
      <c r="M52" s="57"/>
      <c r="N52" s="67">
        <f>SUM(N49:N51)</f>
        <v>78000</v>
      </c>
    </row>
    <row r="53" spans="1:14" s="4" customFormat="1" x14ac:dyDescent="0.35"/>
    <row r="54" spans="1:14" s="4" customFormat="1" ht="8" customHeight="1" x14ac:dyDescent="0.35"/>
    <row r="55" spans="1:14" s="4" customFormat="1" ht="8.5" customHeight="1" x14ac:dyDescent="0.35"/>
    <row r="56" spans="1:14" s="4" customFormat="1" ht="8" customHeight="1" x14ac:dyDescent="0.25">
      <c r="G56" s="68"/>
    </row>
    <row r="57" spans="1:14" s="4" customFormat="1" ht="15" thickBot="1" x14ac:dyDescent="0.4">
      <c r="C57" s="77"/>
      <c r="D57" s="77"/>
      <c r="I57" s="77"/>
      <c r="J57" s="77"/>
    </row>
    <row r="58" spans="1:14" s="4" customFormat="1" x14ac:dyDescent="0.35">
      <c r="C58" s="78" t="s">
        <v>77</v>
      </c>
      <c r="D58" s="78"/>
      <c r="I58" s="78" t="s">
        <v>78</v>
      </c>
      <c r="J58" s="78"/>
    </row>
    <row r="59" spans="1:14" s="4" customFormat="1" x14ac:dyDescent="0.35"/>
    <row r="64" spans="1:14" s="4" customFormat="1" x14ac:dyDescent="0.35">
      <c r="A64" s="6"/>
      <c r="G64" s="69"/>
    </row>
    <row r="65" spans="1:7" s="4" customFormat="1" x14ac:dyDescent="0.35">
      <c r="A65" s="6"/>
      <c r="E65" s="6"/>
      <c r="G65" s="69"/>
    </row>
    <row r="66" spans="1:7" s="4" customFormat="1" x14ac:dyDescent="0.35">
      <c r="A66" s="6"/>
      <c r="G66" s="69"/>
    </row>
    <row r="67" spans="1:7" s="4" customFormat="1" x14ac:dyDescent="0.35">
      <c r="A67" s="6"/>
      <c r="G67" s="69"/>
    </row>
    <row r="68" spans="1:7" s="4" customFormat="1" x14ac:dyDescent="0.35">
      <c r="A68" s="6"/>
      <c r="G68" s="69"/>
    </row>
    <row r="69" spans="1:7" s="4" customFormat="1" x14ac:dyDescent="0.35">
      <c r="A69" s="6"/>
      <c r="G69" s="69"/>
    </row>
  </sheetData>
  <mergeCells count="10">
    <mergeCell ref="C57:D57"/>
    <mergeCell ref="I57:J57"/>
    <mergeCell ref="C58:D58"/>
    <mergeCell ref="I58:J58"/>
    <mergeCell ref="D1:F1"/>
    <mergeCell ref="B38:C38"/>
    <mergeCell ref="D38:H38"/>
    <mergeCell ref="I38:N38"/>
    <mergeCell ref="B41:B51"/>
    <mergeCell ref="E52:F52"/>
  </mergeCells>
  <conditionalFormatting sqref="P36">
    <cfRule type="cellIs" dxfId="5" priority="1" operator="lessThan">
      <formula>$G$36</formula>
    </cfRule>
    <cfRule type="cellIs" dxfId="4" priority="2" operator="greaterThan">
      <formula>$G$36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9CA9-D063-4598-9009-640131FE874C}">
  <dimension ref="A1:P70"/>
  <sheetViews>
    <sheetView topLeftCell="A15" zoomScaleNormal="100" workbookViewId="0">
      <selection activeCell="C29" sqref="C29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46156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122</v>
      </c>
      <c r="E5" s="14">
        <v>12</v>
      </c>
      <c r="F5" s="15">
        <v>350</v>
      </c>
      <c r="G5" s="15">
        <f t="shared" ref="G5:G35" si="0">+E5*F5</f>
        <v>4200</v>
      </c>
      <c r="H5" s="16" t="s">
        <v>22</v>
      </c>
      <c r="I5" s="17">
        <f t="shared" ref="I5:I35" si="1">E5</f>
        <v>12</v>
      </c>
      <c r="J5" s="18"/>
      <c r="K5" s="17"/>
      <c r="L5" s="17">
        <f t="shared" ref="L5:L7" si="2">E5</f>
        <v>12</v>
      </c>
      <c r="M5" s="15">
        <f t="shared" ref="M5:M7" si="3">E5-L5</f>
        <v>0</v>
      </c>
      <c r="N5" s="15">
        <f t="shared" ref="N5:N7" si="4">E5*F5</f>
        <v>4200</v>
      </c>
      <c r="O5" s="19">
        <f t="shared" ref="O5:O7" si="5">+K5*F5</f>
        <v>0</v>
      </c>
    </row>
    <row r="6" spans="1:15" s="20" customFormat="1" ht="14.5" customHeight="1" x14ac:dyDescent="0.3">
      <c r="A6" s="11">
        <v>2</v>
      </c>
      <c r="B6" s="23" t="s">
        <v>45</v>
      </c>
      <c r="C6" s="12"/>
      <c r="D6" s="13" t="s">
        <v>122</v>
      </c>
      <c r="E6" s="14">
        <v>12</v>
      </c>
      <c r="F6" s="15">
        <v>350</v>
      </c>
      <c r="G6" s="15">
        <f t="shared" si="0"/>
        <v>4200</v>
      </c>
      <c r="H6" s="16" t="s">
        <v>22</v>
      </c>
      <c r="I6" s="17">
        <f t="shared" si="1"/>
        <v>12</v>
      </c>
      <c r="J6" s="18"/>
      <c r="K6" s="17"/>
      <c r="L6" s="17">
        <f t="shared" si="2"/>
        <v>12</v>
      </c>
      <c r="M6" s="15">
        <f t="shared" si="3"/>
        <v>0</v>
      </c>
      <c r="N6" s="15">
        <f t="shared" si="4"/>
        <v>4200</v>
      </c>
      <c r="O6" s="19">
        <f t="shared" si="5"/>
        <v>0</v>
      </c>
    </row>
    <row r="7" spans="1:15" s="20" customFormat="1" ht="14.5" customHeight="1" x14ac:dyDescent="0.3">
      <c r="A7" s="11">
        <v>3</v>
      </c>
      <c r="B7" s="21" t="s">
        <v>24</v>
      </c>
      <c r="C7" s="12"/>
      <c r="D7" s="13" t="s">
        <v>98</v>
      </c>
      <c r="E7" s="14">
        <v>10</v>
      </c>
      <c r="F7" s="15">
        <v>290</v>
      </c>
      <c r="G7" s="15">
        <f t="shared" si="0"/>
        <v>2900</v>
      </c>
      <c r="H7" s="18" t="s">
        <v>38</v>
      </c>
      <c r="I7" s="17">
        <f t="shared" si="1"/>
        <v>10</v>
      </c>
      <c r="J7" s="18"/>
      <c r="K7" s="17"/>
      <c r="L7" s="17">
        <f t="shared" si="2"/>
        <v>10</v>
      </c>
      <c r="M7" s="15">
        <f t="shared" si="3"/>
        <v>0</v>
      </c>
      <c r="N7" s="15">
        <f t="shared" si="4"/>
        <v>2900</v>
      </c>
      <c r="O7" s="19">
        <f t="shared" si="5"/>
        <v>0</v>
      </c>
    </row>
    <row r="8" spans="1:15" s="20" customFormat="1" ht="14.5" customHeight="1" x14ac:dyDescent="0.3">
      <c r="A8" s="11">
        <v>3</v>
      </c>
      <c r="B8" s="21" t="s">
        <v>24</v>
      </c>
      <c r="C8" s="12"/>
      <c r="D8" s="13" t="s">
        <v>124</v>
      </c>
      <c r="E8" s="14">
        <v>3</v>
      </c>
      <c r="F8" s="15">
        <v>290</v>
      </c>
      <c r="G8" s="15">
        <f t="shared" si="0"/>
        <v>870</v>
      </c>
      <c r="H8" s="18" t="s">
        <v>38</v>
      </c>
      <c r="I8" s="17">
        <f t="shared" si="1"/>
        <v>3</v>
      </c>
      <c r="J8" s="18"/>
      <c r="K8" s="17"/>
      <c r="L8" s="17">
        <f t="shared" ref="L8:L35" si="6">E8</f>
        <v>3</v>
      </c>
      <c r="M8" s="15">
        <f t="shared" ref="M8:M35" si="7">E8-L8</f>
        <v>0</v>
      </c>
      <c r="N8" s="15">
        <f t="shared" ref="N8:N35" si="8">E8*F8</f>
        <v>870</v>
      </c>
      <c r="O8" s="19">
        <f t="shared" ref="O8:O35" si="9">+K8*F8</f>
        <v>0</v>
      </c>
    </row>
    <row r="9" spans="1:15" s="20" customFormat="1" ht="14.5" customHeight="1" x14ac:dyDescent="0.3">
      <c r="A9" s="11">
        <v>3</v>
      </c>
      <c r="B9" s="22" t="s">
        <v>26</v>
      </c>
      <c r="C9" s="12"/>
      <c r="D9" s="13" t="s">
        <v>124</v>
      </c>
      <c r="E9" s="14">
        <v>1</v>
      </c>
      <c r="F9" s="15">
        <v>290</v>
      </c>
      <c r="G9" s="15">
        <f t="shared" si="0"/>
        <v>290</v>
      </c>
      <c r="H9" s="23" t="s">
        <v>36</v>
      </c>
      <c r="I9" s="17">
        <f t="shared" si="1"/>
        <v>1</v>
      </c>
      <c r="J9" s="18"/>
      <c r="K9" s="17"/>
      <c r="L9" s="17">
        <f t="shared" si="6"/>
        <v>1</v>
      </c>
      <c r="M9" s="15">
        <f t="shared" si="7"/>
        <v>0</v>
      </c>
      <c r="N9" s="15">
        <f t="shared" si="8"/>
        <v>290</v>
      </c>
      <c r="O9" s="19">
        <f t="shared" si="9"/>
        <v>0</v>
      </c>
    </row>
    <row r="10" spans="1:15" s="20" customFormat="1" ht="14.5" customHeight="1" x14ac:dyDescent="0.3">
      <c r="A10" s="11">
        <v>4</v>
      </c>
      <c r="B10" s="23" t="s">
        <v>41</v>
      </c>
      <c r="C10" s="12"/>
      <c r="D10" s="13" t="s">
        <v>98</v>
      </c>
      <c r="E10" s="14">
        <v>7</v>
      </c>
      <c r="F10" s="15">
        <v>290</v>
      </c>
      <c r="G10" s="15">
        <f t="shared" si="0"/>
        <v>2030</v>
      </c>
      <c r="H10" s="18" t="s">
        <v>38</v>
      </c>
      <c r="I10" s="17">
        <f t="shared" si="1"/>
        <v>7</v>
      </c>
      <c r="J10" s="18"/>
      <c r="K10" s="17"/>
      <c r="L10" s="17">
        <f t="shared" si="6"/>
        <v>7</v>
      </c>
      <c r="M10" s="15">
        <f t="shared" si="7"/>
        <v>0</v>
      </c>
      <c r="N10" s="15">
        <f t="shared" si="8"/>
        <v>2030</v>
      </c>
      <c r="O10" s="19">
        <f t="shared" si="9"/>
        <v>0</v>
      </c>
    </row>
    <row r="11" spans="1:15" s="20" customFormat="1" ht="14.5" customHeight="1" x14ac:dyDescent="0.3">
      <c r="A11" s="11">
        <v>4</v>
      </c>
      <c r="B11" s="23" t="s">
        <v>41</v>
      </c>
      <c r="C11" s="12"/>
      <c r="D11" s="13" t="s">
        <v>124</v>
      </c>
      <c r="E11" s="14">
        <v>2</v>
      </c>
      <c r="F11" s="15">
        <v>290</v>
      </c>
      <c r="G11" s="15">
        <f t="shared" si="0"/>
        <v>580</v>
      </c>
      <c r="H11" s="18" t="s">
        <v>38</v>
      </c>
      <c r="I11" s="17">
        <f t="shared" si="1"/>
        <v>2</v>
      </c>
      <c r="J11" s="18"/>
      <c r="K11" s="17"/>
      <c r="L11" s="17">
        <f t="shared" si="6"/>
        <v>2</v>
      </c>
      <c r="M11" s="15">
        <f t="shared" si="7"/>
        <v>0</v>
      </c>
      <c r="N11" s="15">
        <f t="shared" si="8"/>
        <v>580</v>
      </c>
      <c r="O11" s="19">
        <f t="shared" si="9"/>
        <v>0</v>
      </c>
    </row>
    <row r="12" spans="1:15" s="20" customFormat="1" ht="14.5" customHeight="1" x14ac:dyDescent="0.3">
      <c r="A12" s="11">
        <v>5</v>
      </c>
      <c r="B12" s="16" t="s">
        <v>23</v>
      </c>
      <c r="C12" s="12"/>
      <c r="D12" s="13" t="s">
        <v>108</v>
      </c>
      <c r="E12" s="14">
        <v>13</v>
      </c>
      <c r="F12" s="15">
        <v>310</v>
      </c>
      <c r="G12" s="15">
        <f t="shared" si="0"/>
        <v>4030</v>
      </c>
      <c r="H12" s="16" t="s">
        <v>27</v>
      </c>
      <c r="I12" s="17">
        <f t="shared" si="1"/>
        <v>13</v>
      </c>
      <c r="J12" s="18"/>
      <c r="K12" s="17"/>
      <c r="L12" s="17">
        <f t="shared" si="6"/>
        <v>13</v>
      </c>
      <c r="M12" s="15">
        <f t="shared" si="7"/>
        <v>0</v>
      </c>
      <c r="N12" s="15">
        <f t="shared" si="8"/>
        <v>4030</v>
      </c>
      <c r="O12" s="19">
        <f t="shared" si="9"/>
        <v>0</v>
      </c>
    </row>
    <row r="13" spans="1:15" s="20" customFormat="1" ht="14.5" customHeight="1" x14ac:dyDescent="0.3">
      <c r="A13" s="11">
        <v>6</v>
      </c>
      <c r="B13" s="23" t="s">
        <v>32</v>
      </c>
      <c r="C13" s="12"/>
      <c r="D13" s="13" t="s">
        <v>108</v>
      </c>
      <c r="E13" s="14">
        <v>10</v>
      </c>
      <c r="F13" s="15">
        <v>310</v>
      </c>
      <c r="G13" s="15">
        <f t="shared" si="0"/>
        <v>3100</v>
      </c>
      <c r="H13" s="16" t="s">
        <v>27</v>
      </c>
      <c r="I13" s="17">
        <f t="shared" si="1"/>
        <v>10</v>
      </c>
      <c r="J13" s="18"/>
      <c r="K13" s="17"/>
      <c r="L13" s="17">
        <f t="shared" si="6"/>
        <v>10</v>
      </c>
      <c r="M13" s="15">
        <f t="shared" si="7"/>
        <v>0</v>
      </c>
      <c r="N13" s="15">
        <f t="shared" si="8"/>
        <v>3100</v>
      </c>
      <c r="O13" s="19">
        <f t="shared" si="9"/>
        <v>0</v>
      </c>
    </row>
    <row r="14" spans="1:15" s="20" customFormat="1" ht="14.5" customHeight="1" x14ac:dyDescent="0.3">
      <c r="A14" s="11">
        <v>7</v>
      </c>
      <c r="B14" s="23" t="s">
        <v>40</v>
      </c>
      <c r="C14" s="12"/>
      <c r="D14" s="13" t="s">
        <v>123</v>
      </c>
      <c r="E14" s="14">
        <v>8</v>
      </c>
      <c r="F14" s="15">
        <v>500</v>
      </c>
      <c r="G14" s="15">
        <f t="shared" si="0"/>
        <v>4000</v>
      </c>
      <c r="H14" s="12" t="s">
        <v>25</v>
      </c>
      <c r="I14" s="17">
        <f t="shared" si="1"/>
        <v>8</v>
      </c>
      <c r="J14" s="18"/>
      <c r="K14" s="17"/>
      <c r="L14" s="17">
        <f t="shared" si="6"/>
        <v>8</v>
      </c>
      <c r="M14" s="15">
        <f t="shared" si="7"/>
        <v>0</v>
      </c>
      <c r="N14" s="15">
        <f t="shared" si="8"/>
        <v>4000</v>
      </c>
      <c r="O14" s="19">
        <f t="shared" si="9"/>
        <v>0</v>
      </c>
    </row>
    <row r="15" spans="1:15" s="24" customFormat="1" ht="14.5" customHeight="1" x14ac:dyDescent="0.3">
      <c r="A15" s="11">
        <v>8</v>
      </c>
      <c r="B15" s="12" t="s">
        <v>28</v>
      </c>
      <c r="C15" s="12"/>
      <c r="D15" s="13" t="s">
        <v>123</v>
      </c>
      <c r="E15" s="14">
        <v>8</v>
      </c>
      <c r="F15" s="15">
        <v>500</v>
      </c>
      <c r="G15" s="15">
        <f t="shared" si="0"/>
        <v>4000</v>
      </c>
      <c r="H15" s="12" t="s">
        <v>25</v>
      </c>
      <c r="I15" s="17">
        <f t="shared" si="1"/>
        <v>8</v>
      </c>
      <c r="J15" s="18"/>
      <c r="K15" s="17"/>
      <c r="L15" s="17">
        <f t="shared" si="6"/>
        <v>8</v>
      </c>
      <c r="M15" s="15">
        <f t="shared" si="7"/>
        <v>0</v>
      </c>
      <c r="N15" s="15">
        <f t="shared" si="8"/>
        <v>4000</v>
      </c>
      <c r="O15" s="19">
        <f t="shared" si="9"/>
        <v>0</v>
      </c>
    </row>
    <row r="16" spans="1:15" s="24" customFormat="1" ht="14.5" customHeight="1" x14ac:dyDescent="0.3">
      <c r="A16" s="11">
        <v>9</v>
      </c>
      <c r="B16" s="25" t="s">
        <v>33</v>
      </c>
      <c r="C16" s="23"/>
      <c r="D16" s="13" t="s">
        <v>34</v>
      </c>
      <c r="E16" s="14">
        <v>4</v>
      </c>
      <c r="F16" s="15">
        <v>324</v>
      </c>
      <c r="G16" s="15">
        <f t="shared" si="0"/>
        <v>1296</v>
      </c>
      <c r="H16" s="16" t="s">
        <v>80</v>
      </c>
      <c r="I16" s="17">
        <f t="shared" si="1"/>
        <v>4</v>
      </c>
      <c r="J16" s="18"/>
      <c r="K16" s="17"/>
      <c r="L16" s="17">
        <f t="shared" si="6"/>
        <v>4</v>
      </c>
      <c r="M16" s="15">
        <f t="shared" si="7"/>
        <v>0</v>
      </c>
      <c r="N16" s="15">
        <f t="shared" si="8"/>
        <v>1296</v>
      </c>
      <c r="O16" s="19">
        <f t="shared" si="9"/>
        <v>0</v>
      </c>
    </row>
    <row r="17" spans="1:15" s="24" customFormat="1" ht="14.5" customHeight="1" x14ac:dyDescent="0.3">
      <c r="A17" s="11">
        <v>9</v>
      </c>
      <c r="B17" s="25" t="s">
        <v>33</v>
      </c>
      <c r="C17" s="23"/>
      <c r="D17" s="13" t="s">
        <v>34</v>
      </c>
      <c r="E17" s="14">
        <v>3</v>
      </c>
      <c r="F17" s="15">
        <v>324</v>
      </c>
      <c r="G17" s="15">
        <f t="shared" si="0"/>
        <v>972</v>
      </c>
      <c r="H17" s="23" t="s">
        <v>36</v>
      </c>
      <c r="I17" s="17">
        <f t="shared" si="1"/>
        <v>3</v>
      </c>
      <c r="J17" s="18"/>
      <c r="K17" s="17"/>
      <c r="L17" s="17">
        <f t="shared" si="6"/>
        <v>3</v>
      </c>
      <c r="M17" s="15">
        <f t="shared" si="7"/>
        <v>0</v>
      </c>
      <c r="N17" s="15">
        <f t="shared" si="8"/>
        <v>972</v>
      </c>
      <c r="O17" s="19">
        <f t="shared" si="9"/>
        <v>0</v>
      </c>
    </row>
    <row r="18" spans="1:15" s="24" customFormat="1" ht="14.5" customHeight="1" x14ac:dyDescent="0.3">
      <c r="A18" s="11">
        <v>10</v>
      </c>
      <c r="B18" s="26" t="s">
        <v>35</v>
      </c>
      <c r="C18" s="12"/>
      <c r="D18" s="13" t="s">
        <v>34</v>
      </c>
      <c r="E18" s="14">
        <v>4</v>
      </c>
      <c r="F18" s="15">
        <v>324</v>
      </c>
      <c r="G18" s="15">
        <f t="shared" si="0"/>
        <v>1296</v>
      </c>
      <c r="H18" s="23" t="s">
        <v>41</v>
      </c>
      <c r="I18" s="17">
        <f t="shared" si="1"/>
        <v>4</v>
      </c>
      <c r="J18" s="18"/>
      <c r="K18" s="17"/>
      <c r="L18" s="17">
        <f t="shared" si="6"/>
        <v>4</v>
      </c>
      <c r="M18" s="15">
        <f t="shared" si="7"/>
        <v>0</v>
      </c>
      <c r="N18" s="15">
        <f t="shared" si="8"/>
        <v>1296</v>
      </c>
      <c r="O18" s="19">
        <f t="shared" si="9"/>
        <v>0</v>
      </c>
    </row>
    <row r="19" spans="1:15" s="24" customFormat="1" ht="14.5" customHeight="1" x14ac:dyDescent="0.3">
      <c r="A19" s="11">
        <v>11</v>
      </c>
      <c r="B19" s="12" t="s">
        <v>30</v>
      </c>
      <c r="C19" s="12"/>
      <c r="D19" s="13" t="s">
        <v>125</v>
      </c>
      <c r="E19" s="14">
        <v>16</v>
      </c>
      <c r="F19" s="15">
        <v>290</v>
      </c>
      <c r="G19" s="15">
        <f t="shared" si="0"/>
        <v>4640</v>
      </c>
      <c r="H19" s="23" t="s">
        <v>114</v>
      </c>
      <c r="I19" s="17">
        <f t="shared" si="1"/>
        <v>16</v>
      </c>
      <c r="J19" s="18"/>
      <c r="K19" s="17"/>
      <c r="L19" s="17">
        <f t="shared" si="6"/>
        <v>16</v>
      </c>
      <c r="M19" s="15">
        <f t="shared" si="7"/>
        <v>0</v>
      </c>
      <c r="N19" s="15">
        <f t="shared" si="8"/>
        <v>4640</v>
      </c>
      <c r="O19" s="19">
        <f t="shared" si="9"/>
        <v>0</v>
      </c>
    </row>
    <row r="20" spans="1:15" s="24" customFormat="1" ht="14.5" customHeight="1" x14ac:dyDescent="0.3">
      <c r="A20" s="11">
        <v>12</v>
      </c>
      <c r="B20" s="12" t="s">
        <v>44</v>
      </c>
      <c r="C20" s="12"/>
      <c r="D20" s="13" t="s">
        <v>125</v>
      </c>
      <c r="E20" s="14">
        <v>13</v>
      </c>
      <c r="F20" s="15">
        <v>290</v>
      </c>
      <c r="G20" s="15">
        <f t="shared" si="0"/>
        <v>3770</v>
      </c>
      <c r="H20" s="23" t="s">
        <v>114</v>
      </c>
      <c r="I20" s="17">
        <f t="shared" si="1"/>
        <v>13</v>
      </c>
      <c r="J20" s="18"/>
      <c r="K20" s="17"/>
      <c r="L20" s="17">
        <f t="shared" si="6"/>
        <v>13</v>
      </c>
      <c r="M20" s="15">
        <f t="shared" si="7"/>
        <v>0</v>
      </c>
      <c r="N20" s="15">
        <f t="shared" si="8"/>
        <v>3770</v>
      </c>
      <c r="O20" s="19">
        <f t="shared" si="9"/>
        <v>0</v>
      </c>
    </row>
    <row r="21" spans="1:15" s="24" customFormat="1" ht="14.5" customHeight="1" x14ac:dyDescent="0.3">
      <c r="A21" s="11">
        <v>13</v>
      </c>
      <c r="B21" s="23" t="s">
        <v>49</v>
      </c>
      <c r="C21" s="12"/>
      <c r="D21" s="13" t="s">
        <v>125</v>
      </c>
      <c r="E21" s="14">
        <v>13</v>
      </c>
      <c r="F21" s="15">
        <v>290</v>
      </c>
      <c r="G21" s="15">
        <f t="shared" si="0"/>
        <v>3770</v>
      </c>
      <c r="H21" s="16" t="s">
        <v>80</v>
      </c>
      <c r="I21" s="17">
        <f t="shared" si="1"/>
        <v>13</v>
      </c>
      <c r="J21" s="18"/>
      <c r="K21" s="17"/>
      <c r="L21" s="17">
        <f t="shared" si="6"/>
        <v>13</v>
      </c>
      <c r="M21" s="15">
        <f t="shared" si="7"/>
        <v>0</v>
      </c>
      <c r="N21" s="15">
        <f t="shared" si="8"/>
        <v>3770</v>
      </c>
      <c r="O21" s="19">
        <f t="shared" si="9"/>
        <v>0</v>
      </c>
    </row>
    <row r="22" spans="1:15" s="24" customFormat="1" ht="14.5" customHeight="1" x14ac:dyDescent="0.3">
      <c r="A22" s="11">
        <v>14</v>
      </c>
      <c r="B22" s="12" t="s">
        <v>48</v>
      </c>
      <c r="C22" s="27"/>
      <c r="D22" s="13" t="s">
        <v>115</v>
      </c>
      <c r="E22" s="14">
        <v>12</v>
      </c>
      <c r="F22" s="15">
        <v>330</v>
      </c>
      <c r="G22" s="15">
        <f t="shared" si="0"/>
        <v>3960</v>
      </c>
      <c r="H22" s="16" t="s">
        <v>80</v>
      </c>
      <c r="I22" s="17">
        <f t="shared" si="1"/>
        <v>12</v>
      </c>
      <c r="J22" s="18"/>
      <c r="K22" s="17"/>
      <c r="L22" s="17">
        <f t="shared" si="6"/>
        <v>12</v>
      </c>
      <c r="M22" s="15">
        <f t="shared" si="7"/>
        <v>0</v>
      </c>
      <c r="N22" s="15">
        <f t="shared" si="8"/>
        <v>3960</v>
      </c>
      <c r="O22" s="19">
        <f t="shared" si="9"/>
        <v>0</v>
      </c>
    </row>
    <row r="23" spans="1:15" s="20" customFormat="1" ht="13" customHeight="1" x14ac:dyDescent="0.3">
      <c r="A23" s="11">
        <v>15</v>
      </c>
      <c r="B23" s="12" t="s">
        <v>39</v>
      </c>
      <c r="C23" s="27"/>
      <c r="D23" s="13" t="s">
        <v>97</v>
      </c>
      <c r="E23" s="14">
        <v>9.5</v>
      </c>
      <c r="F23" s="15">
        <v>390</v>
      </c>
      <c r="G23" s="15">
        <f t="shared" si="0"/>
        <v>3705</v>
      </c>
      <c r="H23" s="23" t="s">
        <v>36</v>
      </c>
      <c r="I23" s="17">
        <f t="shared" si="1"/>
        <v>9.5</v>
      </c>
      <c r="J23" s="18"/>
      <c r="K23" s="17"/>
      <c r="L23" s="17">
        <f t="shared" si="6"/>
        <v>9.5</v>
      </c>
      <c r="M23" s="15">
        <f t="shared" si="7"/>
        <v>0</v>
      </c>
      <c r="N23" s="15">
        <f t="shared" si="8"/>
        <v>3705</v>
      </c>
      <c r="O23" s="19">
        <f t="shared" si="9"/>
        <v>0</v>
      </c>
    </row>
    <row r="24" spans="1:15" s="20" customFormat="1" ht="13" customHeight="1" x14ac:dyDescent="0.3">
      <c r="A24" s="11">
        <v>15</v>
      </c>
      <c r="B24" s="23" t="s">
        <v>49</v>
      </c>
      <c r="C24" s="27"/>
      <c r="D24" s="13" t="s">
        <v>97</v>
      </c>
      <c r="E24" s="14">
        <v>0.5</v>
      </c>
      <c r="F24" s="15">
        <v>390</v>
      </c>
      <c r="G24" s="15">
        <f t="shared" si="0"/>
        <v>195</v>
      </c>
      <c r="H24" s="16" t="s">
        <v>80</v>
      </c>
      <c r="I24" s="17">
        <f t="shared" si="1"/>
        <v>0.5</v>
      </c>
      <c r="J24" s="18"/>
      <c r="K24" s="17"/>
      <c r="L24" s="17">
        <f t="shared" si="6"/>
        <v>0.5</v>
      </c>
      <c r="M24" s="15">
        <f t="shared" si="7"/>
        <v>0</v>
      </c>
      <c r="N24" s="15">
        <f t="shared" si="8"/>
        <v>195</v>
      </c>
      <c r="O24" s="19">
        <f t="shared" si="9"/>
        <v>0</v>
      </c>
    </row>
    <row r="25" spans="1:15" s="20" customFormat="1" ht="13" customHeight="1" x14ac:dyDescent="0.3">
      <c r="A25" s="11">
        <v>16</v>
      </c>
      <c r="B25" s="22" t="s">
        <v>26</v>
      </c>
      <c r="C25" s="12"/>
      <c r="D25" s="13" t="s">
        <v>97</v>
      </c>
      <c r="E25" s="14">
        <v>9</v>
      </c>
      <c r="F25" s="15">
        <v>390</v>
      </c>
      <c r="G25" s="15">
        <f t="shared" si="0"/>
        <v>3510</v>
      </c>
      <c r="H25" s="23" t="s">
        <v>36</v>
      </c>
      <c r="I25" s="17">
        <f t="shared" si="1"/>
        <v>9</v>
      </c>
      <c r="J25" s="18"/>
      <c r="K25" s="17"/>
      <c r="L25" s="17">
        <f t="shared" si="6"/>
        <v>9</v>
      </c>
      <c r="M25" s="15">
        <f t="shared" si="7"/>
        <v>0</v>
      </c>
      <c r="N25" s="15">
        <f t="shared" si="8"/>
        <v>3510</v>
      </c>
      <c r="O25" s="19">
        <f t="shared" si="9"/>
        <v>0</v>
      </c>
    </row>
    <row r="26" spans="1:15" s="4" customFormat="1" ht="13" customHeight="1" x14ac:dyDescent="0.3">
      <c r="A26" s="28">
        <v>17</v>
      </c>
      <c r="B26" s="26" t="s">
        <v>85</v>
      </c>
      <c r="C26" s="12"/>
      <c r="D26" s="13" t="s">
        <v>98</v>
      </c>
      <c r="E26" s="14">
        <v>3</v>
      </c>
      <c r="F26" s="15">
        <v>290</v>
      </c>
      <c r="G26" s="15">
        <f t="shared" si="0"/>
        <v>870</v>
      </c>
      <c r="H26" s="12" t="s">
        <v>37</v>
      </c>
      <c r="I26" s="17">
        <f t="shared" si="1"/>
        <v>3</v>
      </c>
      <c r="J26" s="18"/>
      <c r="K26" s="17"/>
      <c r="L26" s="17">
        <f t="shared" si="6"/>
        <v>3</v>
      </c>
      <c r="M26" s="15">
        <f t="shared" si="7"/>
        <v>0</v>
      </c>
      <c r="N26" s="15">
        <f t="shared" si="8"/>
        <v>870</v>
      </c>
      <c r="O26" s="19">
        <f t="shared" si="9"/>
        <v>0</v>
      </c>
    </row>
    <row r="27" spans="1:15" s="4" customFormat="1" ht="13" customHeight="1" x14ac:dyDescent="0.3">
      <c r="A27" s="28">
        <v>17</v>
      </c>
      <c r="B27" s="26" t="s">
        <v>85</v>
      </c>
      <c r="C27" s="27"/>
      <c r="D27" s="13" t="s">
        <v>119</v>
      </c>
      <c r="E27" s="14">
        <v>2</v>
      </c>
      <c r="F27" s="15">
        <v>300</v>
      </c>
      <c r="G27" s="15">
        <f t="shared" si="0"/>
        <v>600</v>
      </c>
      <c r="H27" s="12" t="s">
        <v>37</v>
      </c>
      <c r="I27" s="17">
        <f t="shared" si="1"/>
        <v>2</v>
      </c>
      <c r="J27" s="18"/>
      <c r="K27" s="17"/>
      <c r="L27" s="17">
        <f t="shared" si="6"/>
        <v>2</v>
      </c>
      <c r="M27" s="15">
        <f t="shared" si="7"/>
        <v>0</v>
      </c>
      <c r="N27" s="15">
        <f t="shared" si="8"/>
        <v>600</v>
      </c>
      <c r="O27" s="19">
        <f t="shared" si="9"/>
        <v>0</v>
      </c>
    </row>
    <row r="28" spans="1:15" s="4" customFormat="1" ht="13" customHeight="1" x14ac:dyDescent="0.3">
      <c r="A28" s="28">
        <v>18</v>
      </c>
      <c r="B28" s="26" t="s">
        <v>46</v>
      </c>
      <c r="C28" s="70" t="s">
        <v>82</v>
      </c>
      <c r="D28" s="13" t="s">
        <v>98</v>
      </c>
      <c r="E28" s="14">
        <v>4</v>
      </c>
      <c r="F28" s="15">
        <v>290</v>
      </c>
      <c r="G28" s="15">
        <f t="shared" si="0"/>
        <v>1160</v>
      </c>
      <c r="H28" s="12" t="s">
        <v>37</v>
      </c>
      <c r="I28" s="17">
        <f t="shared" si="1"/>
        <v>4</v>
      </c>
      <c r="J28" s="18"/>
      <c r="K28" s="17"/>
      <c r="L28" s="17">
        <f t="shared" si="6"/>
        <v>4</v>
      </c>
      <c r="M28" s="15">
        <f t="shared" si="7"/>
        <v>0</v>
      </c>
      <c r="N28" s="15">
        <f t="shared" si="8"/>
        <v>1160</v>
      </c>
      <c r="O28" s="19">
        <f t="shared" si="9"/>
        <v>0</v>
      </c>
    </row>
    <row r="29" spans="1:15" s="4" customFormat="1" ht="13" customHeight="1" x14ac:dyDescent="0.3">
      <c r="A29" s="28">
        <v>18</v>
      </c>
      <c r="B29" s="26" t="s">
        <v>46</v>
      </c>
      <c r="C29" s="70" t="s">
        <v>82</v>
      </c>
      <c r="D29" s="13" t="s">
        <v>119</v>
      </c>
      <c r="E29" s="14">
        <v>5</v>
      </c>
      <c r="F29" s="15">
        <v>300</v>
      </c>
      <c r="G29" s="15">
        <f t="shared" si="0"/>
        <v>1500</v>
      </c>
      <c r="H29" s="12" t="s">
        <v>37</v>
      </c>
      <c r="I29" s="17">
        <f t="shared" si="1"/>
        <v>5</v>
      </c>
      <c r="J29" s="18"/>
      <c r="K29" s="17"/>
      <c r="L29" s="17">
        <f t="shared" si="6"/>
        <v>5</v>
      </c>
      <c r="M29" s="15">
        <f t="shared" si="7"/>
        <v>0</v>
      </c>
      <c r="N29" s="15">
        <f t="shared" si="8"/>
        <v>1500</v>
      </c>
      <c r="O29" s="19">
        <f t="shared" si="9"/>
        <v>0</v>
      </c>
    </row>
    <row r="30" spans="1:15" s="4" customFormat="1" ht="13" customHeight="1" x14ac:dyDescent="0.3">
      <c r="A30" s="28">
        <v>19</v>
      </c>
      <c r="B30" s="29" t="s">
        <v>47</v>
      </c>
      <c r="C30" s="27"/>
      <c r="D30" s="13" t="s">
        <v>119</v>
      </c>
      <c r="E30" s="14">
        <v>12.5</v>
      </c>
      <c r="F30" s="15">
        <v>300</v>
      </c>
      <c r="G30" s="15">
        <f t="shared" si="0"/>
        <v>3750</v>
      </c>
      <c r="H30" s="16" t="s">
        <v>29</v>
      </c>
      <c r="I30" s="17">
        <f t="shared" si="1"/>
        <v>12.5</v>
      </c>
      <c r="J30" s="18"/>
      <c r="K30" s="17"/>
      <c r="L30" s="17">
        <f t="shared" si="6"/>
        <v>12.5</v>
      </c>
      <c r="M30" s="15">
        <f t="shared" si="7"/>
        <v>0</v>
      </c>
      <c r="N30" s="15">
        <f t="shared" si="8"/>
        <v>3750</v>
      </c>
      <c r="O30" s="19">
        <f t="shared" si="9"/>
        <v>0</v>
      </c>
    </row>
    <row r="31" spans="1:15" s="4" customFormat="1" ht="13" customHeight="1" x14ac:dyDescent="0.3">
      <c r="A31" s="28">
        <v>20</v>
      </c>
      <c r="B31" s="23" t="s">
        <v>42</v>
      </c>
      <c r="C31" s="22"/>
      <c r="D31" s="13" t="s">
        <v>119</v>
      </c>
      <c r="E31" s="14">
        <v>10.5</v>
      </c>
      <c r="F31" s="15">
        <v>300</v>
      </c>
      <c r="G31" s="15">
        <f t="shared" si="0"/>
        <v>3150</v>
      </c>
      <c r="H31" s="16" t="s">
        <v>29</v>
      </c>
      <c r="I31" s="17">
        <f t="shared" si="1"/>
        <v>10.5</v>
      </c>
      <c r="J31" s="18"/>
      <c r="K31" s="17"/>
      <c r="L31" s="17">
        <f t="shared" si="6"/>
        <v>10.5</v>
      </c>
      <c r="M31" s="15">
        <f t="shared" si="7"/>
        <v>0</v>
      </c>
      <c r="N31" s="15">
        <f t="shared" si="8"/>
        <v>3150</v>
      </c>
      <c r="O31" s="19">
        <f t="shared" si="9"/>
        <v>0</v>
      </c>
    </row>
    <row r="32" spans="1:15" s="4" customFormat="1" ht="13" customHeight="1" x14ac:dyDescent="0.3">
      <c r="A32" s="28">
        <v>21</v>
      </c>
      <c r="B32" s="26" t="s">
        <v>110</v>
      </c>
      <c r="C32" s="12"/>
      <c r="D32" s="13" t="s">
        <v>119</v>
      </c>
      <c r="E32" s="14">
        <v>6</v>
      </c>
      <c r="F32" s="15">
        <v>300</v>
      </c>
      <c r="G32" s="15">
        <f t="shared" si="0"/>
        <v>1800</v>
      </c>
      <c r="H32" s="12" t="s">
        <v>37</v>
      </c>
      <c r="I32" s="17">
        <f t="shared" si="1"/>
        <v>6</v>
      </c>
      <c r="J32" s="18"/>
      <c r="K32" s="17"/>
      <c r="L32" s="17">
        <f t="shared" si="6"/>
        <v>6</v>
      </c>
      <c r="M32" s="15">
        <f t="shared" si="7"/>
        <v>0</v>
      </c>
      <c r="N32" s="15">
        <f t="shared" si="8"/>
        <v>1800</v>
      </c>
      <c r="O32" s="19">
        <f t="shared" si="9"/>
        <v>0</v>
      </c>
    </row>
    <row r="33" spans="1:16" s="4" customFormat="1" ht="13" customHeight="1" x14ac:dyDescent="0.3">
      <c r="A33" s="30">
        <v>22</v>
      </c>
      <c r="B33" s="26" t="s">
        <v>79</v>
      </c>
      <c r="C33" s="12"/>
      <c r="D33" s="13" t="s">
        <v>119</v>
      </c>
      <c r="E33" s="14">
        <v>3</v>
      </c>
      <c r="F33" s="15">
        <v>300</v>
      </c>
      <c r="G33" s="15">
        <f t="shared" si="0"/>
        <v>900</v>
      </c>
      <c r="H33" s="18" t="s">
        <v>38</v>
      </c>
      <c r="I33" s="17">
        <f t="shared" si="1"/>
        <v>3</v>
      </c>
      <c r="J33" s="18"/>
      <c r="K33" s="17"/>
      <c r="L33" s="17">
        <f t="shared" si="6"/>
        <v>3</v>
      </c>
      <c r="M33" s="15">
        <f t="shared" si="7"/>
        <v>0</v>
      </c>
      <c r="N33" s="15">
        <f t="shared" si="8"/>
        <v>900</v>
      </c>
      <c r="O33" s="19">
        <f t="shared" si="9"/>
        <v>0</v>
      </c>
    </row>
    <row r="34" spans="1:16" s="4" customFormat="1" ht="13" customHeight="1" x14ac:dyDescent="0.3">
      <c r="A34" s="30">
        <v>22</v>
      </c>
      <c r="B34" s="26" t="s">
        <v>79</v>
      </c>
      <c r="C34" s="12"/>
      <c r="D34" s="13" t="s">
        <v>119</v>
      </c>
      <c r="E34" s="14">
        <v>3</v>
      </c>
      <c r="F34" s="15">
        <v>300</v>
      </c>
      <c r="G34" s="15">
        <f t="shared" si="0"/>
        <v>900</v>
      </c>
      <c r="H34" s="23" t="s">
        <v>114</v>
      </c>
      <c r="I34" s="17">
        <f t="shared" si="1"/>
        <v>3</v>
      </c>
      <c r="J34" s="18"/>
      <c r="K34" s="17"/>
      <c r="L34" s="17">
        <f t="shared" si="6"/>
        <v>3</v>
      </c>
      <c r="M34" s="15">
        <f t="shared" si="7"/>
        <v>0</v>
      </c>
      <c r="N34" s="15">
        <f t="shared" si="8"/>
        <v>900</v>
      </c>
      <c r="O34" s="19">
        <f t="shared" si="9"/>
        <v>0</v>
      </c>
    </row>
    <row r="35" spans="1:16" s="4" customFormat="1" ht="13" customHeight="1" x14ac:dyDescent="0.3">
      <c r="A35" s="31">
        <v>23</v>
      </c>
      <c r="B35" s="26" t="s">
        <v>50</v>
      </c>
      <c r="C35" s="12"/>
      <c r="D35" s="13" t="s">
        <v>119</v>
      </c>
      <c r="E35" s="14">
        <v>22</v>
      </c>
      <c r="F35" s="15">
        <v>300</v>
      </c>
      <c r="G35" s="15">
        <f t="shared" si="0"/>
        <v>6600</v>
      </c>
      <c r="H35" s="26" t="s">
        <v>50</v>
      </c>
      <c r="I35" s="17">
        <f t="shared" si="1"/>
        <v>22</v>
      </c>
      <c r="J35" s="18"/>
      <c r="K35" s="17"/>
      <c r="L35" s="17">
        <f t="shared" si="6"/>
        <v>22</v>
      </c>
      <c r="M35" s="15">
        <f t="shared" si="7"/>
        <v>0</v>
      </c>
      <c r="N35" s="15">
        <f t="shared" si="8"/>
        <v>6600</v>
      </c>
      <c r="O35" s="19">
        <f t="shared" si="9"/>
        <v>0</v>
      </c>
    </row>
    <row r="37" spans="1:16" ht="20.149999999999999" customHeight="1" x14ac:dyDescent="0.35">
      <c r="E37" s="32">
        <f>SUM(E5:E35)</f>
        <v>241</v>
      </c>
      <c r="G37" s="33">
        <f>SUM(G5:G35)</f>
        <v>78544</v>
      </c>
      <c r="N37" s="33">
        <f>SUM(N5:N35)</f>
        <v>78544</v>
      </c>
      <c r="O37" s="33">
        <f>SUM(O15:O36)</f>
        <v>0</v>
      </c>
      <c r="P37" s="34">
        <f>+O37+N37</f>
        <v>78544</v>
      </c>
    </row>
    <row r="38" spans="1:16" s="4" customFormat="1" ht="15" thickBot="1" x14ac:dyDescent="0.4">
      <c r="A38" s="6"/>
    </row>
    <row r="39" spans="1:16" s="4" customFormat="1" ht="15" thickBot="1" x14ac:dyDescent="0.4">
      <c r="A39" s="6"/>
      <c r="B39" s="79" t="s">
        <v>52</v>
      </c>
      <c r="C39" s="80"/>
      <c r="D39" s="81" t="s">
        <v>53</v>
      </c>
      <c r="E39" s="82"/>
      <c r="F39" s="82"/>
      <c r="G39" s="82"/>
      <c r="H39" s="83"/>
      <c r="I39" s="81">
        <v>0</v>
      </c>
      <c r="J39" s="82"/>
      <c r="K39" s="82"/>
      <c r="L39" s="82"/>
      <c r="M39" s="82"/>
      <c r="N39" s="83"/>
    </row>
    <row r="40" spans="1:16" s="4" customFormat="1" ht="19.5" customHeight="1" x14ac:dyDescent="0.35">
      <c r="A40" s="6"/>
      <c r="B40" s="38" t="s">
        <v>54</v>
      </c>
      <c r="C40" s="39">
        <v>25</v>
      </c>
      <c r="D40" s="40" t="s">
        <v>55</v>
      </c>
      <c r="E40" s="41" t="s">
        <v>56</v>
      </c>
      <c r="F40" s="41" t="s">
        <v>57</v>
      </c>
      <c r="G40" s="41" t="s">
        <v>58</v>
      </c>
      <c r="H40" s="42" t="s">
        <v>59</v>
      </c>
      <c r="I40" s="40" t="s">
        <v>56</v>
      </c>
      <c r="J40" s="41" t="s">
        <v>60</v>
      </c>
      <c r="K40" s="41" t="s">
        <v>55</v>
      </c>
      <c r="L40" s="41"/>
      <c r="M40" s="41"/>
      <c r="N40" s="42" t="s">
        <v>59</v>
      </c>
    </row>
    <row r="41" spans="1:16" s="4" customFormat="1" ht="15" thickBot="1" x14ac:dyDescent="0.35">
      <c r="A41" s="6"/>
      <c r="B41" s="43" t="s">
        <v>61</v>
      </c>
      <c r="C41" s="44">
        <v>9</v>
      </c>
      <c r="D41" s="13" t="s">
        <v>122</v>
      </c>
      <c r="E41" s="45" t="s">
        <v>100</v>
      </c>
      <c r="F41" s="34">
        <f>SUM(E5:E6)</f>
        <v>24</v>
      </c>
      <c r="G41" s="34">
        <v>350</v>
      </c>
      <c r="H41" s="19">
        <f>F41*G41</f>
        <v>8400</v>
      </c>
      <c r="I41" s="46">
        <v>1</v>
      </c>
      <c r="J41" s="16" t="s">
        <v>63</v>
      </c>
      <c r="K41" s="47" t="s">
        <v>118</v>
      </c>
      <c r="L41" s="14">
        <v>6</v>
      </c>
      <c r="M41" s="48">
        <v>550</v>
      </c>
      <c r="N41" s="49">
        <f>M41*L41</f>
        <v>3300</v>
      </c>
    </row>
    <row r="42" spans="1:16" s="4" customFormat="1" x14ac:dyDescent="0.3">
      <c r="A42" s="75"/>
      <c r="B42" s="84"/>
      <c r="C42" s="51"/>
      <c r="D42" s="13" t="s">
        <v>124</v>
      </c>
      <c r="E42" s="45" t="s">
        <v>101</v>
      </c>
      <c r="F42" s="34">
        <f>SUM(E8:E9,E11)</f>
        <v>6</v>
      </c>
      <c r="G42" s="34">
        <v>290</v>
      </c>
      <c r="H42" s="19">
        <f t="shared" ref="H42:H52" si="10">F42*G42</f>
        <v>1740</v>
      </c>
      <c r="I42" s="46">
        <v>2</v>
      </c>
      <c r="J42" s="16" t="s">
        <v>66</v>
      </c>
      <c r="K42" s="47" t="s">
        <v>118</v>
      </c>
      <c r="L42" s="14">
        <v>6</v>
      </c>
      <c r="M42" s="48">
        <v>550</v>
      </c>
      <c r="N42" s="49">
        <f t="shared" ref="N42:N43" si="11">M42*L42</f>
        <v>3300</v>
      </c>
    </row>
    <row r="43" spans="1:16" s="4" customFormat="1" ht="12.5" customHeight="1" x14ac:dyDescent="0.3">
      <c r="A43" s="6"/>
      <c r="B43" s="84"/>
      <c r="C43" s="51"/>
      <c r="D43" s="13" t="s">
        <v>108</v>
      </c>
      <c r="E43" s="45" t="s">
        <v>102</v>
      </c>
      <c r="F43" s="34">
        <f>SUM(E12:E13)</f>
        <v>23</v>
      </c>
      <c r="G43" s="34">
        <v>310</v>
      </c>
      <c r="H43" s="19">
        <f t="shared" si="10"/>
        <v>7130</v>
      </c>
      <c r="I43" s="46">
        <v>3</v>
      </c>
      <c r="J43" s="12" t="s">
        <v>68</v>
      </c>
      <c r="K43" s="47" t="s">
        <v>118</v>
      </c>
      <c r="L43" s="14">
        <v>6</v>
      </c>
      <c r="M43" s="48">
        <v>550</v>
      </c>
      <c r="N43" s="49">
        <f t="shared" si="11"/>
        <v>3300</v>
      </c>
    </row>
    <row r="44" spans="1:16" s="4" customFormat="1" ht="15" thickBot="1" x14ac:dyDescent="0.35">
      <c r="A44" s="6"/>
      <c r="B44" s="84"/>
      <c r="C44" s="51"/>
      <c r="D44" s="13" t="s">
        <v>123</v>
      </c>
      <c r="E44" s="45" t="s">
        <v>103</v>
      </c>
      <c r="F44" s="34">
        <f>SUM(E14:E15)</f>
        <v>16</v>
      </c>
      <c r="G44" s="34">
        <v>500</v>
      </c>
      <c r="H44" s="19">
        <f t="shared" si="10"/>
        <v>8000</v>
      </c>
      <c r="I44" s="46"/>
      <c r="J44" s="16"/>
      <c r="K44" s="47"/>
      <c r="L44" s="14"/>
      <c r="M44" s="48"/>
      <c r="N44" s="53">
        <f>M44*L44</f>
        <v>0</v>
      </c>
    </row>
    <row r="45" spans="1:16" s="4" customFormat="1" ht="12" customHeight="1" x14ac:dyDescent="0.3">
      <c r="A45" s="6"/>
      <c r="B45" s="84"/>
      <c r="D45" s="13" t="s">
        <v>34</v>
      </c>
      <c r="E45" s="45" t="s">
        <v>67</v>
      </c>
      <c r="F45" s="34">
        <f>SUM(E16:E18)</f>
        <v>11</v>
      </c>
      <c r="G45" s="34">
        <v>324</v>
      </c>
      <c r="H45" s="19">
        <f t="shared" si="10"/>
        <v>3564</v>
      </c>
      <c r="I45" s="54"/>
      <c r="J45" s="55"/>
      <c r="K45" s="56"/>
      <c r="L45" s="6"/>
      <c r="M45" s="54"/>
      <c r="N45" s="57">
        <f>N41+N42+N43</f>
        <v>9900</v>
      </c>
    </row>
    <row r="46" spans="1:16" s="4" customFormat="1" ht="12" customHeight="1" x14ac:dyDescent="0.3">
      <c r="A46" s="6"/>
      <c r="B46" s="84"/>
      <c r="D46" s="13" t="s">
        <v>125</v>
      </c>
      <c r="E46" s="45" t="s">
        <v>116</v>
      </c>
      <c r="F46" s="34">
        <f>SUM(E19:E21)</f>
        <v>42</v>
      </c>
      <c r="G46" s="34">
        <v>290</v>
      </c>
      <c r="H46" s="19">
        <f t="shared" si="10"/>
        <v>12180</v>
      </c>
      <c r="I46" s="54"/>
      <c r="J46" s="55"/>
      <c r="K46" s="56"/>
      <c r="L46" s="6"/>
      <c r="M46" s="54"/>
      <c r="N46" s="54"/>
    </row>
    <row r="47" spans="1:16" s="4" customFormat="1" ht="14" customHeight="1" thickBot="1" x14ac:dyDescent="0.35">
      <c r="A47" s="6"/>
      <c r="B47" s="84"/>
      <c r="D47" s="13" t="s">
        <v>97</v>
      </c>
      <c r="E47" s="45" t="s">
        <v>105</v>
      </c>
      <c r="F47" s="34">
        <f>SUM(E23:E25)</f>
        <v>19</v>
      </c>
      <c r="G47" s="34">
        <v>390</v>
      </c>
      <c r="H47" s="19">
        <f t="shared" si="10"/>
        <v>7410</v>
      </c>
      <c r="N47" s="58"/>
    </row>
    <row r="48" spans="1:16" s="4" customFormat="1" x14ac:dyDescent="0.3">
      <c r="A48" s="6"/>
      <c r="B48" s="84"/>
      <c r="D48" s="13" t="s">
        <v>119</v>
      </c>
      <c r="E48" s="45" t="s">
        <v>128</v>
      </c>
      <c r="F48" s="34">
        <f>SUM(E27,E29:E35)</f>
        <v>64</v>
      </c>
      <c r="G48" s="34">
        <v>300</v>
      </c>
      <c r="H48" s="19">
        <f t="shared" si="10"/>
        <v>19200</v>
      </c>
      <c r="I48" s="35" t="s">
        <v>70</v>
      </c>
      <c r="J48" s="36"/>
      <c r="K48" s="36"/>
      <c r="L48" s="36"/>
      <c r="M48" s="36"/>
      <c r="N48" s="37"/>
    </row>
    <row r="49" spans="2:14" s="4" customFormat="1" ht="14" customHeight="1" x14ac:dyDescent="0.3">
      <c r="B49" s="84"/>
      <c r="C49" s="59"/>
      <c r="D49" s="13"/>
      <c r="E49" s="45"/>
      <c r="F49" s="34"/>
      <c r="G49" s="34"/>
      <c r="H49" s="52">
        <f t="shared" si="10"/>
        <v>0</v>
      </c>
      <c r="I49" s="60" t="s">
        <v>56</v>
      </c>
      <c r="J49" s="61" t="s">
        <v>72</v>
      </c>
      <c r="K49" s="61" t="s">
        <v>55</v>
      </c>
      <c r="L49" s="61" t="s">
        <v>3</v>
      </c>
      <c r="M49" s="61" t="s">
        <v>58</v>
      </c>
      <c r="N49" s="62" t="s">
        <v>59</v>
      </c>
    </row>
    <row r="50" spans="2:14" s="4" customFormat="1" x14ac:dyDescent="0.3">
      <c r="B50" s="84"/>
      <c r="D50" s="13" t="s">
        <v>115</v>
      </c>
      <c r="E50" s="45" t="s">
        <v>127</v>
      </c>
      <c r="F50" s="34">
        <f>SUM(E22)</f>
        <v>12</v>
      </c>
      <c r="G50" s="34">
        <v>330</v>
      </c>
      <c r="H50" s="52">
        <f t="shared" si="10"/>
        <v>3960</v>
      </c>
      <c r="I50" s="63">
        <v>1</v>
      </c>
      <c r="J50" s="64" t="s">
        <v>73</v>
      </c>
      <c r="K50" s="48" t="s">
        <v>74</v>
      </c>
      <c r="L50" s="34">
        <v>40</v>
      </c>
      <c r="M50" s="48">
        <v>1000</v>
      </c>
      <c r="N50" s="49">
        <f t="shared" ref="N50:N51" si="12">L50*M50</f>
        <v>40000</v>
      </c>
    </row>
    <row r="51" spans="2:14" s="4" customFormat="1" x14ac:dyDescent="0.3">
      <c r="B51" s="84"/>
      <c r="D51" s="13" t="s">
        <v>98</v>
      </c>
      <c r="E51" s="45" t="s">
        <v>126</v>
      </c>
      <c r="F51" s="34">
        <f>SUM(E7,E10,E26,E28)</f>
        <v>24</v>
      </c>
      <c r="G51" s="34">
        <v>290</v>
      </c>
      <c r="H51" s="52">
        <f t="shared" si="10"/>
        <v>6960</v>
      </c>
      <c r="I51" s="46">
        <v>2</v>
      </c>
      <c r="J51" s="64" t="s">
        <v>75</v>
      </c>
      <c r="K51" s="48" t="s">
        <v>74</v>
      </c>
      <c r="L51" s="34">
        <v>40</v>
      </c>
      <c r="M51" s="48">
        <v>1000</v>
      </c>
      <c r="N51" s="49">
        <f t="shared" si="12"/>
        <v>40000</v>
      </c>
    </row>
    <row r="52" spans="2:14" s="4" customFormat="1" ht="15" thickBot="1" x14ac:dyDescent="0.35">
      <c r="B52" s="84"/>
      <c r="D52" s="13"/>
      <c r="E52" s="45"/>
      <c r="F52" s="34"/>
      <c r="G52" s="34"/>
      <c r="H52" s="52">
        <f t="shared" si="10"/>
        <v>0</v>
      </c>
      <c r="I52" s="46">
        <v>3</v>
      </c>
      <c r="J52" s="65" t="s">
        <v>121</v>
      </c>
      <c r="K52" s="48" t="s">
        <v>74</v>
      </c>
      <c r="L52" s="34"/>
      <c r="M52" s="48">
        <v>1000</v>
      </c>
      <c r="N52" s="49">
        <f>L52*M52</f>
        <v>0</v>
      </c>
    </row>
    <row r="53" spans="2:14" s="4" customFormat="1" x14ac:dyDescent="0.35">
      <c r="E53" s="85" t="s">
        <v>59</v>
      </c>
      <c r="F53" s="86"/>
      <c r="G53" s="66">
        <f>SUM(F41:F52)</f>
        <v>241</v>
      </c>
      <c r="H53" s="33">
        <f>SUM(H41:H52)</f>
        <v>78544</v>
      </c>
      <c r="L53" s="4">
        <f>SUM(L50:L52)</f>
        <v>80</v>
      </c>
      <c r="M53" s="57"/>
      <c r="N53" s="67">
        <f>SUM(N50:N52)</f>
        <v>80000</v>
      </c>
    </row>
    <row r="54" spans="2:14" s="4" customFormat="1" x14ac:dyDescent="0.35"/>
    <row r="55" spans="2:14" s="4" customFormat="1" ht="8" customHeight="1" x14ac:dyDescent="0.35"/>
    <row r="56" spans="2:14" s="4" customFormat="1" ht="8.5" customHeight="1" x14ac:dyDescent="0.35"/>
    <row r="57" spans="2:14" s="4" customFormat="1" ht="8" customHeight="1" x14ac:dyDescent="0.25">
      <c r="G57" s="68"/>
    </row>
    <row r="58" spans="2:14" s="4" customFormat="1" ht="15" thickBot="1" x14ac:dyDescent="0.4">
      <c r="C58" s="77"/>
      <c r="D58" s="77"/>
      <c r="I58" s="77"/>
      <c r="J58" s="77"/>
    </row>
    <row r="59" spans="2:14" s="4" customFormat="1" x14ac:dyDescent="0.35">
      <c r="C59" s="78" t="s">
        <v>77</v>
      </c>
      <c r="D59" s="78"/>
      <c r="I59" s="78" t="s">
        <v>78</v>
      </c>
      <c r="J59" s="78"/>
    </row>
    <row r="60" spans="2:14" s="4" customFormat="1" x14ac:dyDescent="0.35"/>
    <row r="65" spans="1:7" s="4" customFormat="1" x14ac:dyDescent="0.35">
      <c r="A65" s="6"/>
      <c r="G65" s="69"/>
    </row>
    <row r="66" spans="1:7" s="4" customFormat="1" x14ac:dyDescent="0.35">
      <c r="A66" s="6"/>
      <c r="E66" s="6"/>
      <c r="G66" s="69"/>
    </row>
    <row r="67" spans="1:7" s="4" customFormat="1" x14ac:dyDescent="0.35">
      <c r="A67" s="6"/>
      <c r="G67" s="69"/>
    </row>
    <row r="68" spans="1:7" s="4" customFormat="1" x14ac:dyDescent="0.35">
      <c r="A68" s="6"/>
      <c r="G68" s="69"/>
    </row>
    <row r="69" spans="1:7" s="4" customFormat="1" x14ac:dyDescent="0.35">
      <c r="A69" s="6"/>
      <c r="G69" s="69"/>
    </row>
    <row r="70" spans="1:7" s="4" customFormat="1" x14ac:dyDescent="0.35">
      <c r="A70" s="6"/>
      <c r="G70" s="69"/>
    </row>
  </sheetData>
  <mergeCells count="10">
    <mergeCell ref="C58:D58"/>
    <mergeCell ref="I58:J58"/>
    <mergeCell ref="C59:D59"/>
    <mergeCell ref="I59:J59"/>
    <mergeCell ref="D1:F1"/>
    <mergeCell ref="B39:C39"/>
    <mergeCell ref="D39:H39"/>
    <mergeCell ref="I39:N39"/>
    <mergeCell ref="B42:B52"/>
    <mergeCell ref="E53:F53"/>
  </mergeCells>
  <conditionalFormatting sqref="P37">
    <cfRule type="cellIs" dxfId="3" priority="1" operator="lessThan">
      <formula>$G$37</formula>
    </cfRule>
    <cfRule type="cellIs" dxfId="2" priority="2" operator="greaterThan">
      <formula>$G$37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BDE9-EDBC-432A-91B1-62F447F4613E}">
  <dimension ref="A1:P76"/>
  <sheetViews>
    <sheetView tabSelected="1" topLeftCell="A41" zoomScaleNormal="100" workbookViewId="0">
      <selection activeCell="J52" sqref="J52"/>
    </sheetView>
  </sheetViews>
  <sheetFormatPr baseColWidth="10" defaultColWidth="10.81640625" defaultRowHeight="14.5" x14ac:dyDescent="0.35"/>
  <cols>
    <col min="1" max="1" width="8.08984375" style="6" bestFit="1" customWidth="1"/>
    <col min="2" max="2" width="25.6328125" style="4" customWidth="1"/>
    <col min="3" max="3" width="20.81640625" style="4" bestFit="1" customWidth="1"/>
    <col min="4" max="4" width="16.90625" style="4" bestFit="1" customWidth="1"/>
    <col min="5" max="5" width="9" style="4" customWidth="1"/>
    <col min="6" max="6" width="7.453125" style="4" customWidth="1"/>
    <col min="7" max="7" width="9.81640625" style="4" customWidth="1"/>
    <col min="8" max="8" width="21.81640625" style="4" bestFit="1" customWidth="1"/>
    <col min="9" max="9" width="9" style="4" customWidth="1"/>
    <col min="10" max="10" width="21" style="4" customWidth="1"/>
    <col min="11" max="11" width="9.08984375" style="4" customWidth="1"/>
    <col min="12" max="12" width="8.54296875" style="4" customWidth="1"/>
    <col min="13" max="16" width="10.81640625" style="4"/>
    <col min="17" max="16384" width="10.81640625" style="6"/>
  </cols>
  <sheetData>
    <row r="1" spans="1:15" ht="15" thickBot="1" x14ac:dyDescent="0.4">
      <c r="A1" s="1" t="s">
        <v>0</v>
      </c>
      <c r="B1" s="2">
        <v>46157</v>
      </c>
      <c r="C1" s="3" t="s">
        <v>1</v>
      </c>
      <c r="D1" s="77" t="s">
        <v>2</v>
      </c>
      <c r="E1" s="77"/>
      <c r="F1" s="77"/>
      <c r="H1" s="4" t="s">
        <v>3</v>
      </c>
    </row>
    <row r="2" spans="1:15" ht="17.5" customHeight="1" x14ac:dyDescent="0.35">
      <c r="A2" s="1" t="s">
        <v>4</v>
      </c>
      <c r="B2" s="5">
        <v>1</v>
      </c>
    </row>
    <row r="3" spans="1:15" ht="15" thickBot="1" x14ac:dyDescent="0.4"/>
    <row r="4" spans="1:15" s="10" customFormat="1" ht="58" x14ac:dyDescent="0.35">
      <c r="A4" s="7" t="s">
        <v>5</v>
      </c>
      <c r="B4" s="8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9" t="s">
        <v>19</v>
      </c>
    </row>
    <row r="5" spans="1:15" s="20" customFormat="1" ht="14.5" customHeight="1" x14ac:dyDescent="0.3">
      <c r="A5" s="11">
        <v>1</v>
      </c>
      <c r="B5" s="12" t="s">
        <v>20</v>
      </c>
      <c r="C5" s="12"/>
      <c r="D5" s="13" t="s">
        <v>122</v>
      </c>
      <c r="E5" s="14">
        <v>10</v>
      </c>
      <c r="F5" s="15">
        <v>350</v>
      </c>
      <c r="G5" s="15">
        <f t="shared" ref="G5:G40" si="0">+E5*F5</f>
        <v>3500</v>
      </c>
      <c r="H5" s="16" t="s">
        <v>22</v>
      </c>
      <c r="I5" s="17">
        <f t="shared" ref="I5:I40" si="1">E5</f>
        <v>10</v>
      </c>
      <c r="J5" s="18"/>
      <c r="K5" s="17"/>
      <c r="L5" s="17">
        <f t="shared" ref="L5" si="2">E5</f>
        <v>10</v>
      </c>
      <c r="M5" s="15">
        <f t="shared" ref="M5" si="3">E5-L5</f>
        <v>0</v>
      </c>
      <c r="N5" s="15">
        <f t="shared" ref="N5" si="4">E5*F5</f>
        <v>3500</v>
      </c>
      <c r="O5" s="19">
        <f t="shared" ref="O5" si="5">+K5*F5</f>
        <v>0</v>
      </c>
    </row>
    <row r="6" spans="1:15" s="20" customFormat="1" ht="14.5" customHeight="1" x14ac:dyDescent="0.3">
      <c r="A6" s="11">
        <v>1</v>
      </c>
      <c r="B6" s="23" t="s">
        <v>49</v>
      </c>
      <c r="C6" s="12"/>
      <c r="D6" s="13" t="s">
        <v>122</v>
      </c>
      <c r="E6" s="14">
        <v>1</v>
      </c>
      <c r="F6" s="15">
        <v>350</v>
      </c>
      <c r="G6" s="15">
        <f t="shared" si="0"/>
        <v>350</v>
      </c>
      <c r="H6" s="71" t="s">
        <v>93</v>
      </c>
      <c r="I6" s="17">
        <f t="shared" si="1"/>
        <v>1</v>
      </c>
      <c r="J6" s="18"/>
      <c r="K6" s="17"/>
      <c r="L6" s="17">
        <f t="shared" ref="L6:L40" si="6">E6</f>
        <v>1</v>
      </c>
      <c r="M6" s="15">
        <f t="shared" ref="M6:M40" si="7">E6-L6</f>
        <v>0</v>
      </c>
      <c r="N6" s="15">
        <f t="shared" ref="N6:N40" si="8">E6*F6</f>
        <v>350</v>
      </c>
      <c r="O6" s="19">
        <f t="shared" ref="O6:O40" si="9">+K6*F6</f>
        <v>0</v>
      </c>
    </row>
    <row r="7" spans="1:15" s="20" customFormat="1" ht="14.5" customHeight="1" x14ac:dyDescent="0.3">
      <c r="A7" s="11">
        <v>1</v>
      </c>
      <c r="B7" s="12" t="s">
        <v>20</v>
      </c>
      <c r="C7" s="12"/>
      <c r="D7" s="13" t="s">
        <v>122</v>
      </c>
      <c r="E7" s="14">
        <v>1</v>
      </c>
      <c r="F7" s="15">
        <v>350</v>
      </c>
      <c r="G7" s="15">
        <v>350</v>
      </c>
      <c r="H7" s="12" t="s">
        <v>20</v>
      </c>
      <c r="I7" s="17">
        <f t="shared" si="1"/>
        <v>1</v>
      </c>
      <c r="J7" s="18"/>
      <c r="K7" s="17"/>
      <c r="L7" s="17">
        <f t="shared" si="6"/>
        <v>1</v>
      </c>
      <c r="M7" s="15">
        <f t="shared" si="7"/>
        <v>0</v>
      </c>
      <c r="N7" s="15">
        <f t="shared" si="8"/>
        <v>350</v>
      </c>
      <c r="O7" s="19">
        <f t="shared" si="9"/>
        <v>0</v>
      </c>
    </row>
    <row r="8" spans="1:15" s="20" customFormat="1" ht="14.5" customHeight="1" x14ac:dyDescent="0.3">
      <c r="A8" s="11">
        <v>2</v>
      </c>
      <c r="B8" s="23" t="s">
        <v>45</v>
      </c>
      <c r="C8" s="12"/>
      <c r="D8" s="13" t="s">
        <v>122</v>
      </c>
      <c r="E8" s="14">
        <v>11</v>
      </c>
      <c r="F8" s="15">
        <v>350</v>
      </c>
      <c r="G8" s="15">
        <f t="shared" si="0"/>
        <v>3850</v>
      </c>
      <c r="H8" s="16" t="s">
        <v>22</v>
      </c>
      <c r="I8" s="17">
        <f t="shared" si="1"/>
        <v>11</v>
      </c>
      <c r="J8" s="18"/>
      <c r="K8" s="17"/>
      <c r="L8" s="17">
        <f t="shared" si="6"/>
        <v>11</v>
      </c>
      <c r="M8" s="15">
        <f t="shared" si="7"/>
        <v>0</v>
      </c>
      <c r="N8" s="15">
        <f t="shared" si="8"/>
        <v>3850</v>
      </c>
      <c r="O8" s="19">
        <f t="shared" si="9"/>
        <v>0</v>
      </c>
    </row>
    <row r="9" spans="1:15" s="20" customFormat="1" ht="14.5" customHeight="1" x14ac:dyDescent="0.3">
      <c r="A9" s="11">
        <v>3</v>
      </c>
      <c r="B9" s="21" t="s">
        <v>24</v>
      </c>
      <c r="C9" s="12"/>
      <c r="D9" s="13" t="s">
        <v>124</v>
      </c>
      <c r="E9" s="14">
        <v>13</v>
      </c>
      <c r="F9" s="15">
        <v>290</v>
      </c>
      <c r="G9" s="15">
        <f t="shared" si="0"/>
        <v>3770</v>
      </c>
      <c r="H9" s="18" t="s">
        <v>38</v>
      </c>
      <c r="I9" s="17">
        <f t="shared" si="1"/>
        <v>13</v>
      </c>
      <c r="J9" s="18"/>
      <c r="K9" s="17"/>
      <c r="L9" s="17">
        <f t="shared" si="6"/>
        <v>13</v>
      </c>
      <c r="M9" s="15">
        <f t="shared" si="7"/>
        <v>0</v>
      </c>
      <c r="N9" s="15">
        <f t="shared" si="8"/>
        <v>3770</v>
      </c>
      <c r="O9" s="19">
        <f t="shared" si="9"/>
        <v>0</v>
      </c>
    </row>
    <row r="10" spans="1:15" s="20" customFormat="1" ht="14.5" customHeight="1" x14ac:dyDescent="0.3">
      <c r="A10" s="11">
        <v>3</v>
      </c>
      <c r="B10" s="22" t="s">
        <v>26</v>
      </c>
      <c r="C10" s="12"/>
      <c r="D10" s="13" t="s">
        <v>124</v>
      </c>
      <c r="E10" s="14">
        <v>1</v>
      </c>
      <c r="F10" s="15">
        <v>290</v>
      </c>
      <c r="G10" s="15">
        <f t="shared" si="0"/>
        <v>290</v>
      </c>
      <c r="H10" s="23" t="s">
        <v>36</v>
      </c>
      <c r="I10" s="17">
        <f t="shared" si="1"/>
        <v>1</v>
      </c>
      <c r="J10" s="18"/>
      <c r="K10" s="17"/>
      <c r="L10" s="17">
        <f t="shared" si="6"/>
        <v>1</v>
      </c>
      <c r="M10" s="15">
        <f t="shared" si="7"/>
        <v>0</v>
      </c>
      <c r="N10" s="15">
        <f t="shared" si="8"/>
        <v>290</v>
      </c>
      <c r="O10" s="19">
        <f t="shared" si="9"/>
        <v>0</v>
      </c>
    </row>
    <row r="11" spans="1:15" s="20" customFormat="1" ht="14.5" customHeight="1" x14ac:dyDescent="0.3">
      <c r="A11" s="11">
        <v>4</v>
      </c>
      <c r="B11" s="23" t="s">
        <v>41</v>
      </c>
      <c r="C11" s="12"/>
      <c r="D11" s="13" t="s">
        <v>124</v>
      </c>
      <c r="E11" s="14">
        <v>13</v>
      </c>
      <c r="F11" s="15">
        <v>290</v>
      </c>
      <c r="G11" s="15">
        <f t="shared" si="0"/>
        <v>3770</v>
      </c>
      <c r="H11" s="18" t="s">
        <v>38</v>
      </c>
      <c r="I11" s="17">
        <f t="shared" si="1"/>
        <v>13</v>
      </c>
      <c r="J11" s="18"/>
      <c r="K11" s="17"/>
      <c r="L11" s="17">
        <f t="shared" si="6"/>
        <v>13</v>
      </c>
      <c r="M11" s="15">
        <f t="shared" si="7"/>
        <v>0</v>
      </c>
      <c r="N11" s="15">
        <f t="shared" si="8"/>
        <v>3770</v>
      </c>
      <c r="O11" s="19">
        <f t="shared" si="9"/>
        <v>0</v>
      </c>
    </row>
    <row r="12" spans="1:15" s="20" customFormat="1" ht="14.5" customHeight="1" x14ac:dyDescent="0.3">
      <c r="A12" s="11">
        <v>5</v>
      </c>
      <c r="B12" s="16" t="s">
        <v>23</v>
      </c>
      <c r="C12" s="12"/>
      <c r="D12" s="13" t="s">
        <v>108</v>
      </c>
      <c r="E12" s="14">
        <v>13</v>
      </c>
      <c r="F12" s="15">
        <v>310</v>
      </c>
      <c r="G12" s="15">
        <f t="shared" si="0"/>
        <v>4030</v>
      </c>
      <c r="H12" s="16" t="s">
        <v>27</v>
      </c>
      <c r="I12" s="17">
        <f t="shared" si="1"/>
        <v>13</v>
      </c>
      <c r="J12" s="18"/>
      <c r="K12" s="17"/>
      <c r="L12" s="17">
        <f t="shared" si="6"/>
        <v>13</v>
      </c>
      <c r="M12" s="15">
        <f t="shared" si="7"/>
        <v>0</v>
      </c>
      <c r="N12" s="15">
        <f t="shared" si="8"/>
        <v>4030</v>
      </c>
      <c r="O12" s="19">
        <f t="shared" si="9"/>
        <v>0</v>
      </c>
    </row>
    <row r="13" spans="1:15" s="20" customFormat="1" ht="14.5" customHeight="1" x14ac:dyDescent="0.3">
      <c r="A13" s="11">
        <v>6</v>
      </c>
      <c r="B13" s="23" t="s">
        <v>32</v>
      </c>
      <c r="C13" s="12"/>
      <c r="D13" s="13" t="s">
        <v>108</v>
      </c>
      <c r="E13" s="14">
        <v>10</v>
      </c>
      <c r="F13" s="15">
        <v>310</v>
      </c>
      <c r="G13" s="15">
        <f t="shared" si="0"/>
        <v>3100</v>
      </c>
      <c r="H13" s="16" t="s">
        <v>27</v>
      </c>
      <c r="I13" s="17">
        <f t="shared" si="1"/>
        <v>10</v>
      </c>
      <c r="J13" s="18"/>
      <c r="K13" s="17"/>
      <c r="L13" s="17">
        <f t="shared" si="6"/>
        <v>10</v>
      </c>
      <c r="M13" s="15">
        <f t="shared" si="7"/>
        <v>0</v>
      </c>
      <c r="N13" s="15">
        <f t="shared" si="8"/>
        <v>3100</v>
      </c>
      <c r="O13" s="19">
        <f t="shared" si="9"/>
        <v>0</v>
      </c>
    </row>
    <row r="14" spans="1:15" s="20" customFormat="1" ht="14.5" customHeight="1" x14ac:dyDescent="0.3">
      <c r="A14" s="11">
        <v>7</v>
      </c>
      <c r="B14" s="23" t="s">
        <v>40</v>
      </c>
      <c r="C14" s="12"/>
      <c r="D14" s="13" t="s">
        <v>123</v>
      </c>
      <c r="E14" s="14">
        <v>6</v>
      </c>
      <c r="F14" s="15">
        <v>500</v>
      </c>
      <c r="G14" s="15">
        <f t="shared" si="0"/>
        <v>3000</v>
      </c>
      <c r="H14" s="12" t="s">
        <v>25</v>
      </c>
      <c r="I14" s="17">
        <f t="shared" si="1"/>
        <v>6</v>
      </c>
      <c r="J14" s="18"/>
      <c r="K14" s="17"/>
      <c r="L14" s="17">
        <f t="shared" si="6"/>
        <v>6</v>
      </c>
      <c r="M14" s="15">
        <f t="shared" si="7"/>
        <v>0</v>
      </c>
      <c r="N14" s="15">
        <f t="shared" si="8"/>
        <v>3000</v>
      </c>
      <c r="O14" s="19">
        <f t="shared" si="9"/>
        <v>0</v>
      </c>
    </row>
    <row r="15" spans="1:15" s="20" customFormat="1" ht="14.5" customHeight="1" x14ac:dyDescent="0.3">
      <c r="A15" s="11">
        <v>7</v>
      </c>
      <c r="B15" s="23" t="s">
        <v>40</v>
      </c>
      <c r="C15" s="12"/>
      <c r="D15" s="13" t="s">
        <v>123</v>
      </c>
      <c r="E15" s="14">
        <v>1</v>
      </c>
      <c r="F15" s="15">
        <v>500</v>
      </c>
      <c r="G15" s="15">
        <f t="shared" si="0"/>
        <v>500</v>
      </c>
      <c r="H15" s="23" t="s">
        <v>49</v>
      </c>
      <c r="I15" s="17">
        <f t="shared" si="1"/>
        <v>1</v>
      </c>
      <c r="J15" s="18"/>
      <c r="K15" s="17"/>
      <c r="L15" s="17">
        <f t="shared" si="6"/>
        <v>1</v>
      </c>
      <c r="M15" s="15">
        <f t="shared" si="7"/>
        <v>0</v>
      </c>
      <c r="N15" s="15">
        <f t="shared" si="8"/>
        <v>500</v>
      </c>
      <c r="O15" s="19">
        <f t="shared" si="9"/>
        <v>0</v>
      </c>
    </row>
    <row r="16" spans="1:15" s="20" customFormat="1" ht="14.5" customHeight="1" x14ac:dyDescent="0.3">
      <c r="A16" s="11">
        <v>7</v>
      </c>
      <c r="B16" s="23" t="s">
        <v>40</v>
      </c>
      <c r="C16" s="12"/>
      <c r="D16" s="13" t="s">
        <v>123</v>
      </c>
      <c r="E16" s="14">
        <v>1</v>
      </c>
      <c r="F16" s="15">
        <v>500</v>
      </c>
      <c r="G16" s="15">
        <f t="shared" si="0"/>
        <v>500</v>
      </c>
      <c r="H16" s="23" t="s">
        <v>45</v>
      </c>
      <c r="I16" s="17">
        <f t="shared" si="1"/>
        <v>1</v>
      </c>
      <c r="J16" s="18"/>
      <c r="K16" s="17"/>
      <c r="L16" s="17">
        <f t="shared" si="6"/>
        <v>1</v>
      </c>
      <c r="M16" s="15">
        <f t="shared" si="7"/>
        <v>0</v>
      </c>
      <c r="N16" s="15">
        <f t="shared" si="8"/>
        <v>500</v>
      </c>
      <c r="O16" s="19">
        <f t="shared" si="9"/>
        <v>0</v>
      </c>
    </row>
    <row r="17" spans="1:15" s="24" customFormat="1" ht="14.5" customHeight="1" x14ac:dyDescent="0.3">
      <c r="A17" s="11">
        <v>8</v>
      </c>
      <c r="B17" s="12" t="s">
        <v>28</v>
      </c>
      <c r="C17" s="12"/>
      <c r="D17" s="13" t="s">
        <v>123</v>
      </c>
      <c r="E17" s="14">
        <v>1</v>
      </c>
      <c r="F17" s="15">
        <v>500</v>
      </c>
      <c r="G17" s="15">
        <f t="shared" si="0"/>
        <v>500</v>
      </c>
      <c r="H17" s="12" t="s">
        <v>25</v>
      </c>
      <c r="I17" s="17">
        <f t="shared" si="1"/>
        <v>1</v>
      </c>
      <c r="J17" s="18"/>
      <c r="K17" s="17"/>
      <c r="L17" s="17">
        <f t="shared" si="6"/>
        <v>1</v>
      </c>
      <c r="M17" s="15">
        <f t="shared" si="7"/>
        <v>0</v>
      </c>
      <c r="N17" s="15">
        <f t="shared" si="8"/>
        <v>500</v>
      </c>
      <c r="O17" s="19">
        <f t="shared" si="9"/>
        <v>0</v>
      </c>
    </row>
    <row r="18" spans="1:15" s="24" customFormat="1" ht="14.5" customHeight="1" x14ac:dyDescent="0.3">
      <c r="A18" s="11">
        <v>8</v>
      </c>
      <c r="B18" s="12" t="s">
        <v>28</v>
      </c>
      <c r="C18" s="12"/>
      <c r="D18" s="13" t="s">
        <v>123</v>
      </c>
      <c r="E18" s="14">
        <v>7</v>
      </c>
      <c r="F18" s="15">
        <v>500</v>
      </c>
      <c r="G18" s="15">
        <f t="shared" si="0"/>
        <v>3500</v>
      </c>
      <c r="H18" s="16" t="s">
        <v>80</v>
      </c>
      <c r="I18" s="17">
        <f t="shared" si="1"/>
        <v>7</v>
      </c>
      <c r="J18" s="18"/>
      <c r="K18" s="17"/>
      <c r="L18" s="17">
        <f t="shared" si="6"/>
        <v>7</v>
      </c>
      <c r="M18" s="15">
        <f t="shared" si="7"/>
        <v>0</v>
      </c>
      <c r="N18" s="15">
        <f t="shared" si="8"/>
        <v>3500</v>
      </c>
      <c r="O18" s="19">
        <f t="shared" si="9"/>
        <v>0</v>
      </c>
    </row>
    <row r="19" spans="1:15" s="24" customFormat="1" ht="14.5" customHeight="1" x14ac:dyDescent="0.3">
      <c r="A19" s="11">
        <v>8</v>
      </c>
      <c r="B19" s="12" t="s">
        <v>28</v>
      </c>
      <c r="C19" s="12"/>
      <c r="D19" s="13" t="s">
        <v>123</v>
      </c>
      <c r="E19" s="14">
        <v>1</v>
      </c>
      <c r="F19" s="15">
        <v>500</v>
      </c>
      <c r="G19" s="15">
        <f t="shared" si="0"/>
        <v>500</v>
      </c>
      <c r="H19" s="23" t="s">
        <v>40</v>
      </c>
      <c r="I19" s="17">
        <f t="shared" si="1"/>
        <v>1</v>
      </c>
      <c r="J19" s="18"/>
      <c r="K19" s="17"/>
      <c r="L19" s="17">
        <f t="shared" si="6"/>
        <v>1</v>
      </c>
      <c r="M19" s="15">
        <f t="shared" si="7"/>
        <v>0</v>
      </c>
      <c r="N19" s="15">
        <f t="shared" si="8"/>
        <v>500</v>
      </c>
      <c r="O19" s="19">
        <f t="shared" si="9"/>
        <v>0</v>
      </c>
    </row>
    <row r="20" spans="1:15" s="24" customFormat="1" ht="14.5" customHeight="1" x14ac:dyDescent="0.3">
      <c r="A20" s="11">
        <v>8</v>
      </c>
      <c r="B20" s="12" t="s">
        <v>28</v>
      </c>
      <c r="C20" s="12"/>
      <c r="D20" s="13" t="s">
        <v>123</v>
      </c>
      <c r="E20" s="14">
        <v>1</v>
      </c>
      <c r="F20" s="15">
        <v>500</v>
      </c>
      <c r="G20" s="15">
        <f t="shared" si="0"/>
        <v>500</v>
      </c>
      <c r="H20" s="71" t="s">
        <v>91</v>
      </c>
      <c r="I20" s="17">
        <f t="shared" si="1"/>
        <v>1</v>
      </c>
      <c r="J20" s="18"/>
      <c r="K20" s="17"/>
      <c r="L20" s="17">
        <f t="shared" si="6"/>
        <v>1</v>
      </c>
      <c r="M20" s="15">
        <f t="shared" si="7"/>
        <v>0</v>
      </c>
      <c r="N20" s="15">
        <f t="shared" si="8"/>
        <v>500</v>
      </c>
      <c r="O20" s="19">
        <f t="shared" si="9"/>
        <v>0</v>
      </c>
    </row>
    <row r="21" spans="1:15" s="24" customFormat="1" ht="14.5" customHeight="1" x14ac:dyDescent="0.3">
      <c r="A21" s="11">
        <v>9</v>
      </c>
      <c r="B21" s="25" t="s">
        <v>33</v>
      </c>
      <c r="C21" s="23"/>
      <c r="D21" s="13" t="s">
        <v>34</v>
      </c>
      <c r="E21" s="14">
        <v>5</v>
      </c>
      <c r="F21" s="15">
        <v>324</v>
      </c>
      <c r="G21" s="15">
        <f t="shared" si="0"/>
        <v>1620</v>
      </c>
      <c r="H21" s="23" t="s">
        <v>41</v>
      </c>
      <c r="I21" s="17">
        <f t="shared" si="1"/>
        <v>5</v>
      </c>
      <c r="J21" s="18"/>
      <c r="K21" s="17"/>
      <c r="L21" s="17">
        <f t="shared" si="6"/>
        <v>5</v>
      </c>
      <c r="M21" s="15">
        <f t="shared" si="7"/>
        <v>0</v>
      </c>
      <c r="N21" s="15">
        <f t="shared" si="8"/>
        <v>1620</v>
      </c>
      <c r="O21" s="19">
        <f t="shared" si="9"/>
        <v>0</v>
      </c>
    </row>
    <row r="22" spans="1:15" s="24" customFormat="1" ht="14.5" customHeight="1" x14ac:dyDescent="0.3">
      <c r="A22" s="11">
        <v>10</v>
      </c>
      <c r="B22" s="26" t="s">
        <v>35</v>
      </c>
      <c r="C22" s="12"/>
      <c r="D22" s="13" t="s">
        <v>34</v>
      </c>
      <c r="E22" s="14">
        <v>4</v>
      </c>
      <c r="F22" s="15">
        <v>324</v>
      </c>
      <c r="G22" s="15">
        <f t="shared" si="0"/>
        <v>1296</v>
      </c>
      <c r="H22" s="18" t="s">
        <v>38</v>
      </c>
      <c r="I22" s="17">
        <f t="shared" si="1"/>
        <v>4</v>
      </c>
      <c r="J22" s="18"/>
      <c r="K22" s="17"/>
      <c r="L22" s="17">
        <f t="shared" si="6"/>
        <v>4</v>
      </c>
      <c r="M22" s="15">
        <f t="shared" si="7"/>
        <v>0</v>
      </c>
      <c r="N22" s="15">
        <f t="shared" si="8"/>
        <v>1296</v>
      </c>
      <c r="O22" s="19">
        <f t="shared" si="9"/>
        <v>0</v>
      </c>
    </row>
    <row r="23" spans="1:15" s="24" customFormat="1" ht="14.5" customHeight="1" x14ac:dyDescent="0.3">
      <c r="A23" s="11">
        <v>11</v>
      </c>
      <c r="B23" s="12" t="s">
        <v>30</v>
      </c>
      <c r="C23" s="12"/>
      <c r="D23" s="13" t="s">
        <v>125</v>
      </c>
      <c r="E23" s="14">
        <v>16</v>
      </c>
      <c r="F23" s="15">
        <v>290</v>
      </c>
      <c r="G23" s="15">
        <f t="shared" si="0"/>
        <v>4640</v>
      </c>
      <c r="H23" s="23" t="s">
        <v>41</v>
      </c>
      <c r="I23" s="17">
        <f t="shared" si="1"/>
        <v>16</v>
      </c>
      <c r="J23" s="18"/>
      <c r="K23" s="17"/>
      <c r="L23" s="17">
        <f t="shared" si="6"/>
        <v>16</v>
      </c>
      <c r="M23" s="15">
        <f t="shared" si="7"/>
        <v>0</v>
      </c>
      <c r="N23" s="15">
        <f t="shared" si="8"/>
        <v>4640</v>
      </c>
      <c r="O23" s="19">
        <f t="shared" si="9"/>
        <v>0</v>
      </c>
    </row>
    <row r="24" spans="1:15" s="24" customFormat="1" ht="14.5" customHeight="1" x14ac:dyDescent="0.3">
      <c r="A24" s="11">
        <v>12</v>
      </c>
      <c r="B24" s="12" t="s">
        <v>44</v>
      </c>
      <c r="C24" s="12"/>
      <c r="D24" s="13" t="s">
        <v>125</v>
      </c>
      <c r="E24" s="14">
        <v>12</v>
      </c>
      <c r="F24" s="15">
        <v>290</v>
      </c>
      <c r="G24" s="15">
        <f t="shared" si="0"/>
        <v>3480</v>
      </c>
      <c r="H24" s="23" t="s">
        <v>41</v>
      </c>
      <c r="I24" s="17">
        <f t="shared" si="1"/>
        <v>12</v>
      </c>
      <c r="J24" s="18"/>
      <c r="K24" s="17"/>
      <c r="L24" s="17">
        <f t="shared" si="6"/>
        <v>12</v>
      </c>
      <c r="M24" s="15">
        <f t="shared" si="7"/>
        <v>0</v>
      </c>
      <c r="N24" s="15">
        <f t="shared" si="8"/>
        <v>3480</v>
      </c>
      <c r="O24" s="19">
        <f t="shared" si="9"/>
        <v>0</v>
      </c>
    </row>
    <row r="25" spans="1:15" s="24" customFormat="1" ht="14.5" customHeight="1" x14ac:dyDescent="0.3">
      <c r="A25" s="11">
        <v>13</v>
      </c>
      <c r="B25" s="23" t="s">
        <v>49</v>
      </c>
      <c r="C25" s="12"/>
      <c r="D25" s="13" t="s">
        <v>125</v>
      </c>
      <c r="E25" s="14">
        <v>12</v>
      </c>
      <c r="F25" s="15">
        <v>290</v>
      </c>
      <c r="G25" s="15">
        <f t="shared" si="0"/>
        <v>3480</v>
      </c>
      <c r="H25" s="16" t="s">
        <v>80</v>
      </c>
      <c r="I25" s="17">
        <f t="shared" si="1"/>
        <v>12</v>
      </c>
      <c r="J25" s="18"/>
      <c r="K25" s="17"/>
      <c r="L25" s="17">
        <f t="shared" si="6"/>
        <v>12</v>
      </c>
      <c r="M25" s="15">
        <f t="shared" si="7"/>
        <v>0</v>
      </c>
      <c r="N25" s="15">
        <f t="shared" si="8"/>
        <v>3480</v>
      </c>
      <c r="O25" s="19">
        <f t="shared" si="9"/>
        <v>0</v>
      </c>
    </row>
    <row r="26" spans="1:15" s="24" customFormat="1" ht="14.5" customHeight="1" x14ac:dyDescent="0.3">
      <c r="A26" s="11">
        <v>14</v>
      </c>
      <c r="B26" s="12" t="s">
        <v>48</v>
      </c>
      <c r="C26" s="27"/>
      <c r="D26" s="13" t="s">
        <v>125</v>
      </c>
      <c r="E26" s="14">
        <v>10</v>
      </c>
      <c r="F26" s="15">
        <v>290</v>
      </c>
      <c r="G26" s="15">
        <f t="shared" si="0"/>
        <v>2900</v>
      </c>
      <c r="H26" s="12" t="s">
        <v>25</v>
      </c>
      <c r="I26" s="17">
        <f t="shared" si="1"/>
        <v>10</v>
      </c>
      <c r="J26" s="18"/>
      <c r="K26" s="17"/>
      <c r="L26" s="17">
        <f t="shared" si="6"/>
        <v>10</v>
      </c>
      <c r="M26" s="15">
        <f t="shared" si="7"/>
        <v>0</v>
      </c>
      <c r="N26" s="15">
        <f t="shared" si="8"/>
        <v>2900</v>
      </c>
      <c r="O26" s="19">
        <f t="shared" si="9"/>
        <v>0</v>
      </c>
    </row>
    <row r="27" spans="1:15" s="24" customFormat="1" ht="14.5" customHeight="1" x14ac:dyDescent="0.3">
      <c r="A27" s="11">
        <v>14</v>
      </c>
      <c r="B27" s="12" t="s">
        <v>48</v>
      </c>
      <c r="C27" s="27"/>
      <c r="D27" s="13" t="s">
        <v>125</v>
      </c>
      <c r="E27" s="14">
        <v>3</v>
      </c>
      <c r="F27" s="15">
        <v>290</v>
      </c>
      <c r="G27" s="15">
        <f t="shared" si="0"/>
        <v>870</v>
      </c>
      <c r="H27" s="16" t="s">
        <v>80</v>
      </c>
      <c r="I27" s="17">
        <f t="shared" si="1"/>
        <v>3</v>
      </c>
      <c r="J27" s="18"/>
      <c r="K27" s="17"/>
      <c r="L27" s="17">
        <f t="shared" si="6"/>
        <v>3</v>
      </c>
      <c r="M27" s="15">
        <f t="shared" si="7"/>
        <v>0</v>
      </c>
      <c r="N27" s="15">
        <f t="shared" si="8"/>
        <v>870</v>
      </c>
      <c r="O27" s="19">
        <f t="shared" si="9"/>
        <v>0</v>
      </c>
    </row>
    <row r="28" spans="1:15" s="20" customFormat="1" ht="13" customHeight="1" x14ac:dyDescent="0.3">
      <c r="A28" s="11">
        <v>15</v>
      </c>
      <c r="B28" s="12" t="s">
        <v>39</v>
      </c>
      <c r="C28" s="27"/>
      <c r="D28" s="13" t="s">
        <v>97</v>
      </c>
      <c r="E28" s="14">
        <v>8</v>
      </c>
      <c r="F28" s="15">
        <v>390</v>
      </c>
      <c r="G28" s="15">
        <f t="shared" si="0"/>
        <v>3120</v>
      </c>
      <c r="H28" s="23" t="s">
        <v>36</v>
      </c>
      <c r="I28" s="17">
        <f t="shared" si="1"/>
        <v>8</v>
      </c>
      <c r="J28" s="18"/>
      <c r="K28" s="17"/>
      <c r="L28" s="17">
        <f t="shared" si="6"/>
        <v>8</v>
      </c>
      <c r="M28" s="15">
        <f t="shared" si="7"/>
        <v>0</v>
      </c>
      <c r="N28" s="15">
        <f t="shared" si="8"/>
        <v>3120</v>
      </c>
      <c r="O28" s="19">
        <f t="shared" si="9"/>
        <v>0</v>
      </c>
    </row>
    <row r="29" spans="1:15" s="20" customFormat="1" ht="13" customHeight="1" x14ac:dyDescent="0.3">
      <c r="A29" s="11">
        <v>15</v>
      </c>
      <c r="B29" s="12" t="s">
        <v>39</v>
      </c>
      <c r="C29" s="27"/>
      <c r="D29" s="13" t="s">
        <v>124</v>
      </c>
      <c r="E29" s="14">
        <v>2</v>
      </c>
      <c r="F29" s="15">
        <v>290</v>
      </c>
      <c r="G29" s="15">
        <f t="shared" si="0"/>
        <v>580</v>
      </c>
      <c r="H29" s="23" t="s">
        <v>36</v>
      </c>
      <c r="I29" s="17">
        <f t="shared" si="1"/>
        <v>2</v>
      </c>
      <c r="J29" s="18"/>
      <c r="K29" s="17"/>
      <c r="L29" s="17">
        <f t="shared" si="6"/>
        <v>2</v>
      </c>
      <c r="M29" s="15">
        <f t="shared" si="7"/>
        <v>0</v>
      </c>
      <c r="N29" s="15">
        <f t="shared" si="8"/>
        <v>580</v>
      </c>
      <c r="O29" s="19">
        <f t="shared" si="9"/>
        <v>0</v>
      </c>
    </row>
    <row r="30" spans="1:15" s="20" customFormat="1" ht="13" customHeight="1" x14ac:dyDescent="0.3">
      <c r="A30" s="11">
        <v>16</v>
      </c>
      <c r="B30" s="22" t="s">
        <v>26</v>
      </c>
      <c r="C30" s="12"/>
      <c r="D30" s="13" t="s">
        <v>124</v>
      </c>
      <c r="E30" s="14">
        <v>12</v>
      </c>
      <c r="F30" s="15">
        <v>290</v>
      </c>
      <c r="G30" s="15">
        <f t="shared" si="0"/>
        <v>3480</v>
      </c>
      <c r="H30" s="23" t="s">
        <v>36</v>
      </c>
      <c r="I30" s="17">
        <f t="shared" si="1"/>
        <v>12</v>
      </c>
      <c r="J30" s="18"/>
      <c r="K30" s="17"/>
      <c r="L30" s="17">
        <f t="shared" si="6"/>
        <v>12</v>
      </c>
      <c r="M30" s="15">
        <f t="shared" si="7"/>
        <v>0</v>
      </c>
      <c r="N30" s="15">
        <f t="shared" si="8"/>
        <v>3480</v>
      </c>
      <c r="O30" s="19">
        <f t="shared" si="9"/>
        <v>0</v>
      </c>
    </row>
    <row r="31" spans="1:15" s="4" customFormat="1" ht="13" customHeight="1" x14ac:dyDescent="0.3">
      <c r="A31" s="28">
        <v>17</v>
      </c>
      <c r="B31" s="70" t="s">
        <v>82</v>
      </c>
      <c r="C31" s="88"/>
      <c r="D31" s="13" t="s">
        <v>119</v>
      </c>
      <c r="E31" s="14">
        <v>5</v>
      </c>
      <c r="F31" s="15">
        <v>300</v>
      </c>
      <c r="G31" s="15">
        <f t="shared" si="0"/>
        <v>1500</v>
      </c>
      <c r="H31" s="12" t="s">
        <v>37</v>
      </c>
      <c r="I31" s="17">
        <f t="shared" si="1"/>
        <v>5</v>
      </c>
      <c r="J31" s="18"/>
      <c r="K31" s="17"/>
      <c r="L31" s="17">
        <f t="shared" si="6"/>
        <v>5</v>
      </c>
      <c r="M31" s="15">
        <f t="shared" si="7"/>
        <v>0</v>
      </c>
      <c r="N31" s="15">
        <f t="shared" si="8"/>
        <v>1500</v>
      </c>
      <c r="O31" s="19">
        <f t="shared" si="9"/>
        <v>0</v>
      </c>
    </row>
    <row r="32" spans="1:15" s="4" customFormat="1" ht="13" customHeight="1" x14ac:dyDescent="0.3">
      <c r="A32" s="28">
        <v>18</v>
      </c>
      <c r="B32" s="26" t="s">
        <v>46</v>
      </c>
      <c r="C32" s="89"/>
      <c r="D32" s="13" t="s">
        <v>119</v>
      </c>
      <c r="E32" s="14">
        <v>6</v>
      </c>
      <c r="F32" s="15">
        <v>300</v>
      </c>
      <c r="G32" s="15">
        <f t="shared" si="0"/>
        <v>1800</v>
      </c>
      <c r="H32" s="12" t="s">
        <v>37</v>
      </c>
      <c r="I32" s="17">
        <f t="shared" si="1"/>
        <v>6</v>
      </c>
      <c r="J32" s="18"/>
      <c r="K32" s="17"/>
      <c r="L32" s="17">
        <f t="shared" si="6"/>
        <v>6</v>
      </c>
      <c r="M32" s="15">
        <f t="shared" si="7"/>
        <v>0</v>
      </c>
      <c r="N32" s="15">
        <f t="shared" si="8"/>
        <v>1800</v>
      </c>
      <c r="O32" s="19">
        <f t="shared" si="9"/>
        <v>0</v>
      </c>
    </row>
    <row r="33" spans="1:16" s="4" customFormat="1" ht="13" customHeight="1" x14ac:dyDescent="0.3">
      <c r="A33" s="28">
        <v>19</v>
      </c>
      <c r="B33" s="29" t="s">
        <v>47</v>
      </c>
      <c r="C33" s="88"/>
      <c r="D33" s="13" t="s">
        <v>119</v>
      </c>
      <c r="E33" s="14">
        <v>11</v>
      </c>
      <c r="F33" s="15">
        <v>300</v>
      </c>
      <c r="G33" s="15">
        <f t="shared" si="0"/>
        <v>3300</v>
      </c>
      <c r="H33" s="16" t="s">
        <v>29</v>
      </c>
      <c r="I33" s="17">
        <f t="shared" si="1"/>
        <v>11</v>
      </c>
      <c r="J33" s="18"/>
      <c r="K33" s="17"/>
      <c r="L33" s="17">
        <f t="shared" si="6"/>
        <v>11</v>
      </c>
      <c r="M33" s="15">
        <f t="shared" si="7"/>
        <v>0</v>
      </c>
      <c r="N33" s="15">
        <f t="shared" si="8"/>
        <v>3300</v>
      </c>
      <c r="O33" s="19">
        <f t="shared" si="9"/>
        <v>0</v>
      </c>
    </row>
    <row r="34" spans="1:16" s="4" customFormat="1" ht="13" customHeight="1" x14ac:dyDescent="0.3">
      <c r="A34" s="28">
        <v>20</v>
      </c>
      <c r="B34" s="23" t="s">
        <v>42</v>
      </c>
      <c r="C34" s="22"/>
      <c r="D34" s="13" t="s">
        <v>119</v>
      </c>
      <c r="E34" s="14">
        <v>9</v>
      </c>
      <c r="F34" s="15">
        <v>300</v>
      </c>
      <c r="G34" s="15">
        <f t="shared" si="0"/>
        <v>2700</v>
      </c>
      <c r="H34" s="16" t="s">
        <v>29</v>
      </c>
      <c r="I34" s="17">
        <f t="shared" si="1"/>
        <v>9</v>
      </c>
      <c r="J34" s="18"/>
      <c r="K34" s="17"/>
      <c r="L34" s="17">
        <f t="shared" si="6"/>
        <v>9</v>
      </c>
      <c r="M34" s="15">
        <f t="shared" si="7"/>
        <v>0</v>
      </c>
      <c r="N34" s="15">
        <f t="shared" si="8"/>
        <v>2700</v>
      </c>
      <c r="O34" s="19">
        <f t="shared" si="9"/>
        <v>0</v>
      </c>
    </row>
    <row r="35" spans="1:16" s="4" customFormat="1" ht="13" customHeight="1" x14ac:dyDescent="0.3">
      <c r="A35" s="28">
        <v>21</v>
      </c>
      <c r="B35" s="23" t="s">
        <v>86</v>
      </c>
      <c r="C35" s="12"/>
      <c r="D35" s="13" t="s">
        <v>119</v>
      </c>
      <c r="E35" s="14">
        <v>1</v>
      </c>
      <c r="F35" s="15">
        <v>300</v>
      </c>
      <c r="G35" s="15">
        <f t="shared" si="0"/>
        <v>300</v>
      </c>
      <c r="H35" s="23" t="s">
        <v>41</v>
      </c>
      <c r="I35" s="17">
        <f t="shared" si="1"/>
        <v>1</v>
      </c>
      <c r="J35" s="18"/>
      <c r="K35" s="17"/>
      <c r="L35" s="17">
        <f t="shared" si="6"/>
        <v>1</v>
      </c>
      <c r="M35" s="15">
        <f t="shared" si="7"/>
        <v>0</v>
      </c>
      <c r="N35" s="15">
        <f t="shared" si="8"/>
        <v>300</v>
      </c>
      <c r="O35" s="19">
        <f t="shared" si="9"/>
        <v>0</v>
      </c>
    </row>
    <row r="36" spans="1:16" s="4" customFormat="1" ht="13" customHeight="1" x14ac:dyDescent="0.3">
      <c r="A36" s="30">
        <v>21</v>
      </c>
      <c r="B36" s="23" t="s">
        <v>86</v>
      </c>
      <c r="C36" s="12"/>
      <c r="D36" s="13" t="s">
        <v>119</v>
      </c>
      <c r="E36" s="14">
        <v>9</v>
      </c>
      <c r="F36" s="15">
        <v>300</v>
      </c>
      <c r="G36" s="15">
        <f t="shared" si="0"/>
        <v>2700</v>
      </c>
      <c r="H36" s="12" t="s">
        <v>37</v>
      </c>
      <c r="I36" s="17">
        <f t="shared" si="1"/>
        <v>9</v>
      </c>
      <c r="J36" s="18"/>
      <c r="K36" s="17"/>
      <c r="L36" s="17">
        <f t="shared" si="6"/>
        <v>9</v>
      </c>
      <c r="M36" s="15">
        <f t="shared" si="7"/>
        <v>0</v>
      </c>
      <c r="N36" s="15">
        <f t="shared" si="8"/>
        <v>2700</v>
      </c>
      <c r="O36" s="19">
        <f t="shared" si="9"/>
        <v>0</v>
      </c>
    </row>
    <row r="37" spans="1:16" s="4" customFormat="1" ht="13" customHeight="1" x14ac:dyDescent="0.3">
      <c r="A37" s="30">
        <v>22</v>
      </c>
      <c r="B37" s="25" t="s">
        <v>33</v>
      </c>
      <c r="C37" s="12"/>
      <c r="D37" s="13" t="s">
        <v>119</v>
      </c>
      <c r="E37" s="14">
        <v>2</v>
      </c>
      <c r="F37" s="15">
        <v>300</v>
      </c>
      <c r="G37" s="15">
        <f t="shared" si="0"/>
        <v>600</v>
      </c>
      <c r="H37" s="16" t="s">
        <v>80</v>
      </c>
      <c r="I37" s="17">
        <f t="shared" si="1"/>
        <v>2</v>
      </c>
      <c r="J37" s="18"/>
      <c r="K37" s="17"/>
      <c r="L37" s="17">
        <f t="shared" si="6"/>
        <v>2</v>
      </c>
      <c r="M37" s="15">
        <f t="shared" si="7"/>
        <v>0</v>
      </c>
      <c r="N37" s="15">
        <f t="shared" si="8"/>
        <v>600</v>
      </c>
      <c r="O37" s="19">
        <f t="shared" si="9"/>
        <v>0</v>
      </c>
    </row>
    <row r="38" spans="1:16" s="4" customFormat="1" ht="13" customHeight="1" x14ac:dyDescent="0.3">
      <c r="A38" s="30">
        <v>22</v>
      </c>
      <c r="B38" s="25" t="s">
        <v>33</v>
      </c>
      <c r="C38" s="12"/>
      <c r="D38" s="13" t="s">
        <v>119</v>
      </c>
      <c r="E38" s="14">
        <v>2</v>
      </c>
      <c r="F38" s="15">
        <v>300</v>
      </c>
      <c r="G38" s="15">
        <f t="shared" si="0"/>
        <v>600</v>
      </c>
      <c r="H38" s="23" t="s">
        <v>36</v>
      </c>
      <c r="I38" s="17">
        <f t="shared" si="1"/>
        <v>2</v>
      </c>
      <c r="J38" s="18"/>
      <c r="K38" s="17"/>
      <c r="L38" s="17">
        <f t="shared" si="6"/>
        <v>2</v>
      </c>
      <c r="M38" s="15">
        <f t="shared" si="7"/>
        <v>0</v>
      </c>
      <c r="N38" s="15">
        <f t="shared" si="8"/>
        <v>600</v>
      </c>
      <c r="O38" s="19">
        <f t="shared" si="9"/>
        <v>0</v>
      </c>
    </row>
    <row r="39" spans="1:16" s="4" customFormat="1" ht="13" customHeight="1" x14ac:dyDescent="0.3">
      <c r="A39" s="30">
        <v>22</v>
      </c>
      <c r="B39" s="25"/>
      <c r="C39" s="12"/>
      <c r="D39" s="13" t="s">
        <v>119</v>
      </c>
      <c r="E39" s="14">
        <v>2</v>
      </c>
      <c r="F39" s="15">
        <v>300</v>
      </c>
      <c r="G39" s="15">
        <f t="shared" si="0"/>
        <v>600</v>
      </c>
      <c r="H39" s="23" t="s">
        <v>41</v>
      </c>
      <c r="I39" s="17">
        <f t="shared" si="1"/>
        <v>2</v>
      </c>
      <c r="J39" s="18"/>
      <c r="K39" s="17"/>
      <c r="L39" s="17">
        <f t="shared" si="6"/>
        <v>2</v>
      </c>
      <c r="M39" s="15">
        <f t="shared" si="7"/>
        <v>0</v>
      </c>
      <c r="N39" s="15">
        <f t="shared" si="8"/>
        <v>600</v>
      </c>
      <c r="O39" s="19">
        <f t="shared" si="9"/>
        <v>0</v>
      </c>
    </row>
    <row r="40" spans="1:16" s="4" customFormat="1" ht="13" customHeight="1" x14ac:dyDescent="0.3">
      <c r="A40" s="31">
        <v>23</v>
      </c>
      <c r="B40" s="23" t="s">
        <v>81</v>
      </c>
      <c r="C40" s="12"/>
      <c r="D40" s="13" t="s">
        <v>119</v>
      </c>
      <c r="E40" s="14">
        <v>22</v>
      </c>
      <c r="F40" s="15">
        <v>300</v>
      </c>
      <c r="G40" s="15">
        <f t="shared" si="0"/>
        <v>6600</v>
      </c>
      <c r="H40" s="23" t="s">
        <v>81</v>
      </c>
      <c r="I40" s="17">
        <f t="shared" si="1"/>
        <v>22</v>
      </c>
      <c r="J40" s="18"/>
      <c r="K40" s="17"/>
      <c r="L40" s="17">
        <f t="shared" si="6"/>
        <v>22</v>
      </c>
      <c r="M40" s="15">
        <f t="shared" si="7"/>
        <v>0</v>
      </c>
      <c r="N40" s="15">
        <f t="shared" si="8"/>
        <v>6600</v>
      </c>
      <c r="O40" s="19">
        <f t="shared" si="9"/>
        <v>0</v>
      </c>
    </row>
    <row r="42" spans="1:16" ht="20.149999999999999" customHeight="1" x14ac:dyDescent="0.35">
      <c r="E42" s="32">
        <f>SUM(E5:E40)</f>
        <v>244</v>
      </c>
      <c r="G42" s="33">
        <f>SUM(G5:G40)</f>
        <v>78176</v>
      </c>
      <c r="N42" s="33">
        <f>SUM(N5:N40)</f>
        <v>78176</v>
      </c>
      <c r="O42" s="33">
        <f>SUM(O17:O41)</f>
        <v>0</v>
      </c>
      <c r="P42" s="34">
        <f>+O42+N42</f>
        <v>78176</v>
      </c>
    </row>
    <row r="43" spans="1:16" s="4" customFormat="1" ht="15" thickBot="1" x14ac:dyDescent="0.4">
      <c r="A43" s="6"/>
    </row>
    <row r="44" spans="1:16" s="4" customFormat="1" ht="15" thickBot="1" x14ac:dyDescent="0.4">
      <c r="A44" s="6"/>
      <c r="B44" s="79" t="s">
        <v>52</v>
      </c>
      <c r="C44" s="80"/>
      <c r="D44" s="81" t="s">
        <v>53</v>
      </c>
      <c r="E44" s="82"/>
      <c r="F44" s="82"/>
      <c r="G44" s="82"/>
      <c r="H44" s="83"/>
      <c r="I44" s="81">
        <v>0</v>
      </c>
      <c r="J44" s="82"/>
      <c r="K44" s="82"/>
      <c r="L44" s="82"/>
      <c r="M44" s="82"/>
      <c r="N44" s="83"/>
    </row>
    <row r="45" spans="1:16" s="4" customFormat="1" ht="19.5" customHeight="1" x14ac:dyDescent="0.35">
      <c r="A45" s="6"/>
      <c r="B45" s="38" t="s">
        <v>54</v>
      </c>
      <c r="C45" s="39">
        <v>25</v>
      </c>
      <c r="D45" s="40" t="s">
        <v>55</v>
      </c>
      <c r="E45" s="41" t="s">
        <v>56</v>
      </c>
      <c r="F45" s="41" t="s">
        <v>57</v>
      </c>
      <c r="G45" s="41" t="s">
        <v>58</v>
      </c>
      <c r="H45" s="42" t="s">
        <v>59</v>
      </c>
      <c r="I45" s="40" t="s">
        <v>56</v>
      </c>
      <c r="J45" s="41" t="s">
        <v>60</v>
      </c>
      <c r="K45" s="41" t="s">
        <v>55</v>
      </c>
      <c r="L45" s="41"/>
      <c r="M45" s="41"/>
      <c r="N45" s="42" t="s">
        <v>59</v>
      </c>
    </row>
    <row r="46" spans="1:16" s="4" customFormat="1" ht="15" thickBot="1" x14ac:dyDescent="0.35">
      <c r="A46" s="6"/>
      <c r="B46" s="43" t="s">
        <v>61</v>
      </c>
      <c r="C46" s="44">
        <v>9</v>
      </c>
      <c r="D46" s="13" t="s">
        <v>122</v>
      </c>
      <c r="E46" s="45" t="s">
        <v>100</v>
      </c>
      <c r="F46" s="34">
        <f>SUM(E5:E8)</f>
        <v>23</v>
      </c>
      <c r="G46" s="34">
        <v>350</v>
      </c>
      <c r="H46" s="19">
        <f>F46*G46</f>
        <v>8050</v>
      </c>
      <c r="I46" s="46">
        <v>1</v>
      </c>
      <c r="J46" s="16" t="s">
        <v>63</v>
      </c>
      <c r="K46" s="47" t="s">
        <v>118</v>
      </c>
      <c r="L46" s="14">
        <v>6</v>
      </c>
      <c r="M46" s="48">
        <v>550</v>
      </c>
      <c r="N46" s="49">
        <f>M46*L46</f>
        <v>3300</v>
      </c>
    </row>
    <row r="47" spans="1:16" s="4" customFormat="1" x14ac:dyDescent="0.3">
      <c r="A47" s="75"/>
      <c r="B47" s="84"/>
      <c r="C47" s="51"/>
      <c r="D47" s="13" t="s">
        <v>124</v>
      </c>
      <c r="E47" s="45" t="s">
        <v>130</v>
      </c>
      <c r="F47" s="34">
        <f>SUM(E9:E11,E29:E30)</f>
        <v>41</v>
      </c>
      <c r="G47" s="34">
        <v>290</v>
      </c>
      <c r="H47" s="19">
        <f t="shared" ref="H47:H58" si="10">F47*G47</f>
        <v>11890</v>
      </c>
      <c r="I47" s="46">
        <v>2</v>
      </c>
      <c r="J47" s="12" t="s">
        <v>68</v>
      </c>
      <c r="K47" s="47" t="s">
        <v>118</v>
      </c>
      <c r="L47" s="14">
        <v>6</v>
      </c>
      <c r="M47" s="48">
        <v>550</v>
      </c>
      <c r="N47" s="49">
        <f t="shared" ref="N47:N48" si="11">M47*L47</f>
        <v>3300</v>
      </c>
    </row>
    <row r="48" spans="1:16" s="4" customFormat="1" ht="12.5" customHeight="1" x14ac:dyDescent="0.3">
      <c r="A48" s="6"/>
      <c r="B48" s="84"/>
      <c r="C48" s="51"/>
      <c r="D48" s="13" t="s">
        <v>108</v>
      </c>
      <c r="E48" s="45" t="s">
        <v>102</v>
      </c>
      <c r="F48" s="34">
        <f>SUM(E12:E13)</f>
        <v>23</v>
      </c>
      <c r="G48" s="34">
        <v>310</v>
      </c>
      <c r="H48" s="19">
        <f t="shared" si="10"/>
        <v>7130</v>
      </c>
      <c r="I48" s="46">
        <v>3</v>
      </c>
      <c r="J48" s="26" t="s">
        <v>50</v>
      </c>
      <c r="K48" s="47" t="s">
        <v>118</v>
      </c>
      <c r="L48" s="14">
        <v>6</v>
      </c>
      <c r="M48" s="48">
        <v>550</v>
      </c>
      <c r="N48" s="49">
        <f t="shared" si="11"/>
        <v>3300</v>
      </c>
    </row>
    <row r="49" spans="1:14" s="4" customFormat="1" ht="15" thickBot="1" x14ac:dyDescent="0.35">
      <c r="A49" s="6"/>
      <c r="B49" s="84"/>
      <c r="C49" s="51"/>
      <c r="D49" s="13" t="s">
        <v>123</v>
      </c>
      <c r="E49" s="45" t="s">
        <v>103</v>
      </c>
      <c r="F49" s="34">
        <f>SUM(E14:E20)</f>
        <v>18</v>
      </c>
      <c r="G49" s="34">
        <v>500</v>
      </c>
      <c r="H49" s="19">
        <f t="shared" si="10"/>
        <v>9000</v>
      </c>
      <c r="I49" s="46"/>
      <c r="J49" s="16"/>
      <c r="K49" s="47"/>
      <c r="L49" s="14"/>
      <c r="M49" s="48"/>
      <c r="N49" s="53">
        <f>M49*L49</f>
        <v>0</v>
      </c>
    </row>
    <row r="50" spans="1:14" s="4" customFormat="1" ht="12" customHeight="1" x14ac:dyDescent="0.3">
      <c r="A50" s="6"/>
      <c r="B50" s="84"/>
      <c r="D50" s="13" t="s">
        <v>34</v>
      </c>
      <c r="E50" s="45" t="s">
        <v>67</v>
      </c>
      <c r="F50" s="34">
        <f>SUM(E21:E22)</f>
        <v>9</v>
      </c>
      <c r="G50" s="34">
        <v>324</v>
      </c>
      <c r="H50" s="19">
        <f t="shared" si="10"/>
        <v>2916</v>
      </c>
      <c r="I50" s="54"/>
      <c r="J50" s="55"/>
      <c r="K50" s="56"/>
      <c r="L50" s="6"/>
      <c r="M50" s="54"/>
      <c r="N50" s="57">
        <f>N46+N47+N48</f>
        <v>9900</v>
      </c>
    </row>
    <row r="51" spans="1:14" s="4" customFormat="1" ht="12" customHeight="1" x14ac:dyDescent="0.3">
      <c r="A51" s="6"/>
      <c r="B51" s="84"/>
      <c r="D51" s="13" t="s">
        <v>125</v>
      </c>
      <c r="E51" s="45" t="s">
        <v>116</v>
      </c>
      <c r="F51" s="34">
        <f>SUM(E23:E27)</f>
        <v>53</v>
      </c>
      <c r="G51" s="34">
        <v>290</v>
      </c>
      <c r="H51" s="19">
        <f t="shared" si="10"/>
        <v>15370</v>
      </c>
      <c r="I51" s="54"/>
      <c r="J51" s="55"/>
      <c r="K51" s="56"/>
      <c r="L51" s="6"/>
      <c r="M51" s="54"/>
      <c r="N51" s="54"/>
    </row>
    <row r="52" spans="1:14" s="4" customFormat="1" ht="14" customHeight="1" thickBot="1" x14ac:dyDescent="0.35">
      <c r="A52" s="6"/>
      <c r="B52" s="84"/>
      <c r="D52" s="13" t="s">
        <v>119</v>
      </c>
      <c r="E52" s="45" t="s">
        <v>128</v>
      </c>
      <c r="F52" s="34">
        <f>SUM(E31:E40)</f>
        <v>69</v>
      </c>
      <c r="G52" s="34">
        <v>300</v>
      </c>
      <c r="H52" s="19">
        <f t="shared" si="10"/>
        <v>20700</v>
      </c>
      <c r="N52" s="58"/>
    </row>
    <row r="53" spans="1:14" s="4" customFormat="1" x14ac:dyDescent="0.3">
      <c r="A53" s="6"/>
      <c r="B53" s="84"/>
      <c r="D53" s="13"/>
      <c r="E53" s="45"/>
      <c r="F53" s="34"/>
      <c r="G53" s="34"/>
      <c r="H53" s="19">
        <f t="shared" si="10"/>
        <v>0</v>
      </c>
      <c r="I53" s="35" t="s">
        <v>70</v>
      </c>
      <c r="J53" s="36"/>
      <c r="K53" s="36"/>
      <c r="L53" s="36"/>
      <c r="M53" s="36"/>
      <c r="N53" s="37"/>
    </row>
    <row r="54" spans="1:14" s="4" customFormat="1" ht="14" customHeight="1" x14ac:dyDescent="0.3">
      <c r="B54" s="84"/>
      <c r="C54" s="59"/>
      <c r="D54" s="13"/>
      <c r="E54" s="45"/>
      <c r="F54" s="34"/>
      <c r="G54" s="34"/>
      <c r="H54" s="52">
        <f t="shared" si="10"/>
        <v>0</v>
      </c>
      <c r="I54" s="60" t="s">
        <v>56</v>
      </c>
      <c r="J54" s="61" t="s">
        <v>72</v>
      </c>
      <c r="K54" s="61" t="s">
        <v>55</v>
      </c>
      <c r="L54" s="61" t="s">
        <v>3</v>
      </c>
      <c r="M54" s="61" t="s">
        <v>58</v>
      </c>
      <c r="N54" s="62" t="s">
        <v>59</v>
      </c>
    </row>
    <row r="55" spans="1:14" s="4" customFormat="1" x14ac:dyDescent="0.3">
      <c r="B55" s="84"/>
      <c r="D55" s="72" t="s">
        <v>97</v>
      </c>
      <c r="E55" s="73" t="s">
        <v>129</v>
      </c>
      <c r="F55" s="74">
        <f>SUM(E28)</f>
        <v>8</v>
      </c>
      <c r="G55" s="74">
        <v>390</v>
      </c>
      <c r="H55" s="76">
        <f t="shared" si="10"/>
        <v>3120</v>
      </c>
      <c r="I55" s="63">
        <v>1</v>
      </c>
      <c r="J55" s="64" t="s">
        <v>73</v>
      </c>
      <c r="K55" s="48" t="s">
        <v>74</v>
      </c>
      <c r="L55" s="34">
        <v>23</v>
      </c>
      <c r="M55" s="48">
        <v>1000</v>
      </c>
      <c r="N55" s="49">
        <f t="shared" ref="N55:N58" si="12">L55*M55</f>
        <v>23000</v>
      </c>
    </row>
    <row r="56" spans="1:14" s="4" customFormat="1" x14ac:dyDescent="0.3">
      <c r="B56" s="84"/>
      <c r="D56" s="13"/>
      <c r="E56" s="45"/>
      <c r="F56" s="34"/>
      <c r="G56" s="34"/>
      <c r="H56" s="52">
        <f t="shared" si="10"/>
        <v>0</v>
      </c>
      <c r="I56" s="46">
        <v>2</v>
      </c>
      <c r="J56" s="64" t="s">
        <v>75</v>
      </c>
      <c r="K56" s="48" t="s">
        <v>74</v>
      </c>
      <c r="L56" s="34">
        <v>42</v>
      </c>
      <c r="M56" s="48">
        <v>1000</v>
      </c>
      <c r="N56" s="49">
        <f t="shared" si="12"/>
        <v>42000</v>
      </c>
    </row>
    <row r="57" spans="1:14" s="4" customFormat="1" x14ac:dyDescent="0.3">
      <c r="B57" s="84"/>
      <c r="D57" s="13"/>
      <c r="E57" s="45"/>
      <c r="F57" s="34"/>
      <c r="G57" s="34"/>
      <c r="H57" s="52"/>
      <c r="I57" s="46">
        <v>3</v>
      </c>
      <c r="J57" s="64" t="s">
        <v>75</v>
      </c>
      <c r="K57" s="48" t="s">
        <v>74</v>
      </c>
      <c r="L57" s="34">
        <v>7</v>
      </c>
      <c r="M57" s="48">
        <v>1000</v>
      </c>
      <c r="N57" s="49">
        <f t="shared" si="12"/>
        <v>7000</v>
      </c>
    </row>
    <row r="58" spans="1:14" s="4" customFormat="1" ht="15" thickBot="1" x14ac:dyDescent="0.35">
      <c r="B58" s="84"/>
      <c r="D58" s="13"/>
      <c r="E58" s="45"/>
      <c r="F58" s="34"/>
      <c r="G58" s="34"/>
      <c r="H58" s="52">
        <f t="shared" si="10"/>
        <v>0</v>
      </c>
      <c r="I58" s="46">
        <v>3</v>
      </c>
      <c r="J58" s="64" t="s">
        <v>73</v>
      </c>
      <c r="K58" s="48" t="s">
        <v>74</v>
      </c>
      <c r="L58" s="34">
        <v>7</v>
      </c>
      <c r="M58" s="48">
        <v>1000</v>
      </c>
      <c r="N58" s="49">
        <f t="shared" si="12"/>
        <v>7000</v>
      </c>
    </row>
    <row r="59" spans="1:14" s="4" customFormat="1" x14ac:dyDescent="0.35">
      <c r="E59" s="85" t="s">
        <v>59</v>
      </c>
      <c r="F59" s="86"/>
      <c r="G59" s="66">
        <f>SUM(F46:F58)</f>
        <v>244</v>
      </c>
      <c r="H59" s="33">
        <f>SUM(H46:H58)</f>
        <v>78176</v>
      </c>
      <c r="L59" s="4">
        <f>SUM(L55:L58)</f>
        <v>79</v>
      </c>
      <c r="M59" s="57"/>
      <c r="N59" s="67">
        <f>SUM(N55:N58)</f>
        <v>79000</v>
      </c>
    </row>
    <row r="60" spans="1:14" s="4" customFormat="1" x14ac:dyDescent="0.35"/>
    <row r="61" spans="1:14" s="4" customFormat="1" ht="8" customHeight="1" x14ac:dyDescent="0.35"/>
    <row r="62" spans="1:14" s="4" customFormat="1" ht="8.5" customHeight="1" x14ac:dyDescent="0.35"/>
    <row r="63" spans="1:14" s="4" customFormat="1" ht="8" customHeight="1" x14ac:dyDescent="0.25">
      <c r="G63" s="68"/>
    </row>
    <row r="64" spans="1:14" s="4" customFormat="1" ht="15" thickBot="1" x14ac:dyDescent="0.4">
      <c r="C64" s="77"/>
      <c r="D64" s="77"/>
      <c r="I64" s="77"/>
      <c r="J64" s="77"/>
    </row>
    <row r="65" spans="1:10" s="4" customFormat="1" x14ac:dyDescent="0.35">
      <c r="C65" s="78" t="s">
        <v>77</v>
      </c>
      <c r="D65" s="78"/>
      <c r="I65" s="78" t="s">
        <v>78</v>
      </c>
      <c r="J65" s="78"/>
    </row>
    <row r="66" spans="1:10" s="4" customFormat="1" x14ac:dyDescent="0.35"/>
    <row r="71" spans="1:10" s="4" customFormat="1" x14ac:dyDescent="0.35">
      <c r="A71" s="6"/>
      <c r="G71" s="69"/>
    </row>
    <row r="72" spans="1:10" s="4" customFormat="1" x14ac:dyDescent="0.35">
      <c r="A72" s="6"/>
      <c r="E72" s="6"/>
      <c r="G72" s="69"/>
    </row>
    <row r="73" spans="1:10" s="4" customFormat="1" x14ac:dyDescent="0.35">
      <c r="A73" s="6"/>
      <c r="G73" s="69"/>
    </row>
    <row r="74" spans="1:10" s="4" customFormat="1" x14ac:dyDescent="0.35">
      <c r="A74" s="6"/>
      <c r="G74" s="69"/>
    </row>
    <row r="75" spans="1:10" s="4" customFormat="1" x14ac:dyDescent="0.35">
      <c r="A75" s="6"/>
      <c r="G75" s="69"/>
    </row>
    <row r="76" spans="1:10" s="4" customFormat="1" x14ac:dyDescent="0.35">
      <c r="A76" s="6"/>
      <c r="G76" s="69"/>
    </row>
  </sheetData>
  <mergeCells count="10">
    <mergeCell ref="C64:D64"/>
    <mergeCell ref="I64:J64"/>
    <mergeCell ref="C65:D65"/>
    <mergeCell ref="I65:J65"/>
    <mergeCell ref="D1:F1"/>
    <mergeCell ref="B44:C44"/>
    <mergeCell ref="D44:H44"/>
    <mergeCell ref="I44:N44"/>
    <mergeCell ref="B47:B58"/>
    <mergeCell ref="E59:F59"/>
  </mergeCells>
  <conditionalFormatting sqref="P42">
    <cfRule type="cellIs" dxfId="1" priority="1" operator="lessThan">
      <formula>$G$42</formula>
    </cfRule>
    <cfRule type="cellIs" dxfId="0" priority="2" operator="greaterThan">
      <formula>$G$42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04 MAYO 2026</vt:lpstr>
      <vt:lpstr>05 MAYO 2026</vt:lpstr>
      <vt:lpstr>06 MAYO 2026</vt:lpstr>
      <vt:lpstr>07 MAYO 2026</vt:lpstr>
      <vt:lpstr>08 MAYO 2026 </vt:lpstr>
      <vt:lpstr>11 MAYO 2026 </vt:lpstr>
      <vt:lpstr>12 MAYO 2026 </vt:lpstr>
      <vt:lpstr>13 MAYO 2026 </vt:lpstr>
      <vt:lpstr>14 MAYO 2026 </vt:lpstr>
      <vt:lpstr>15 MAYO 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SupervisorV Paskal</dc:creator>
  <cp:lastModifiedBy>SupervisorV Paskal</cp:lastModifiedBy>
  <dcterms:created xsi:type="dcterms:W3CDTF">2026-05-04T15:10:45Z</dcterms:created>
  <dcterms:modified xsi:type="dcterms:W3CDTF">2026-05-15T22:43:58Z</dcterms:modified>
</cp:coreProperties>
</file>