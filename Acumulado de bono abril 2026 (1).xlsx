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skaltechnologies-my.sharepoint.com/personal/alejandro_o_paskal-group_com/Documents/Produccion/Abril 2026/"/>
    </mc:Choice>
  </mc:AlternateContent>
  <xr:revisionPtr revIDLastSave="1288" documentId="8_{37E594E5-0CCA-4418-92BE-3E6397C95F08}" xr6:coauthVersionLast="47" xr6:coauthVersionMax="47" xr10:uidLastSave="{64321C9D-A0FF-4640-AB79-70422E21B743}"/>
  <bookViews>
    <workbookView xWindow="28680" yWindow="-120" windowWidth="29040" windowHeight="15720" activeTab="1" xr2:uid="{BB9035AB-F5EB-4C67-A3D8-96D8085B27FC}"/>
  </bookViews>
  <sheets>
    <sheet name="Turno 1" sheetId="1" r:id="rId1"/>
    <sheet name="Turno 2" sheetId="2" r:id="rId2"/>
    <sheet name="Informacion de bon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53" i="2" l="1"/>
  <c r="AL46" i="2"/>
  <c r="K52" i="2"/>
  <c r="K51" i="2"/>
  <c r="AA29" i="2" l="1"/>
  <c r="AA47" i="2"/>
  <c r="AD18" i="2" l="1"/>
  <c r="AA59" i="1"/>
  <c r="AI43" i="1"/>
  <c r="AJ45" i="1"/>
  <c r="AI45" i="1"/>
  <c r="AJ44" i="1"/>
  <c r="AI44" i="1"/>
  <c r="AJ42" i="1"/>
  <c r="AI42" i="1"/>
  <c r="AJ41" i="1"/>
  <c r="AI41" i="1"/>
  <c r="AJ40" i="1"/>
  <c r="AI40" i="1"/>
  <c r="AJ39" i="1"/>
  <c r="AI39" i="1"/>
  <c r="AI35" i="1"/>
  <c r="AD45" i="1"/>
  <c r="AO22" i="1"/>
  <c r="AJ29" i="1"/>
  <c r="AI29" i="1"/>
  <c r="AJ28" i="1"/>
  <c r="AI28" i="1"/>
  <c r="AJ22" i="1"/>
  <c r="AI22" i="1"/>
  <c r="AJ10" i="1"/>
  <c r="AI10" i="1"/>
  <c r="AI26" i="1"/>
  <c r="AI23" i="1"/>
  <c r="AI21" i="1"/>
  <c r="AI20" i="1"/>
  <c r="AI18" i="1"/>
  <c r="AI17" i="1"/>
  <c r="AI12" i="1"/>
  <c r="AI9" i="1"/>
  <c r="AI3" i="1"/>
  <c r="AA9" i="1"/>
  <c r="AA7" i="1"/>
  <c r="AA36" i="1"/>
  <c r="N3" i="1"/>
  <c r="V3" i="1"/>
  <c r="AL20" i="2" l="1"/>
  <c r="AM20" i="2"/>
  <c r="AO20" i="2"/>
  <c r="V20" i="2"/>
  <c r="W20" i="2"/>
  <c r="X20" i="2"/>
  <c r="Y20" i="2"/>
  <c r="Z20" i="2"/>
  <c r="AA20" i="2"/>
  <c r="AD20" i="2"/>
  <c r="AF20" i="2"/>
  <c r="AG20" i="2"/>
  <c r="AP20" i="2" s="1"/>
  <c r="AH20" i="2"/>
  <c r="AB20" i="2" s="1"/>
  <c r="V25" i="2"/>
  <c r="Z25" i="2" s="1"/>
  <c r="W25" i="2"/>
  <c r="X25" i="2"/>
  <c r="Y25" i="2"/>
  <c r="AD25" i="2"/>
  <c r="AF25" i="2"/>
  <c r="X26" i="2"/>
  <c r="AD26" i="2"/>
  <c r="AF26" i="2"/>
  <c r="AG26" i="2" s="1"/>
  <c r="AH26" i="2" s="1"/>
  <c r="AI26" i="2" s="1"/>
  <c r="AL26" i="2"/>
  <c r="V27" i="2"/>
  <c r="W27" i="2"/>
  <c r="X27" i="2"/>
  <c r="Y27" i="2"/>
  <c r="AD27" i="2"/>
  <c r="AF27" i="2"/>
  <c r="AG27" i="2"/>
  <c r="AH27" i="2"/>
  <c r="AL27" i="2"/>
  <c r="AM27" i="2"/>
  <c r="AO27" i="2"/>
  <c r="V28" i="2"/>
  <c r="W28" i="2"/>
  <c r="X28" i="2"/>
  <c r="Y28" i="2"/>
  <c r="AD28" i="2"/>
  <c r="AG28" i="2" s="1"/>
  <c r="AH28" i="2" s="1"/>
  <c r="AF28" i="2"/>
  <c r="AL28" i="2"/>
  <c r="AM28" i="2"/>
  <c r="AO28" i="2"/>
  <c r="V29" i="2"/>
  <c r="W29" i="2"/>
  <c r="X29" i="2"/>
  <c r="Y29" i="2"/>
  <c r="AD29" i="2"/>
  <c r="AG29" i="2" s="1"/>
  <c r="AH29" i="2" s="1"/>
  <c r="AF29" i="2"/>
  <c r="AL29" i="2"/>
  <c r="AM29" i="2"/>
  <c r="AO29" i="2"/>
  <c r="V30" i="2"/>
  <c r="W30" i="2"/>
  <c r="X30" i="2"/>
  <c r="Y30" i="2"/>
  <c r="Z30" i="2"/>
  <c r="AD30" i="2"/>
  <c r="AF30" i="2"/>
  <c r="W31" i="2"/>
  <c r="X31" i="2"/>
  <c r="AD31" i="2"/>
  <c r="AF31" i="2"/>
  <c r="V32" i="2"/>
  <c r="W32" i="2"/>
  <c r="X32" i="2"/>
  <c r="Y32" i="2"/>
  <c r="Z32" i="2"/>
  <c r="AA32" i="2"/>
  <c r="AD32" i="2"/>
  <c r="AF32" i="2"/>
  <c r="AG32" i="2"/>
  <c r="AH32" i="2" s="1"/>
  <c r="AB32" i="2" s="1"/>
  <c r="AM32" i="2"/>
  <c r="V33" i="2"/>
  <c r="W33" i="2"/>
  <c r="X33" i="2"/>
  <c r="Y33" i="2"/>
  <c r="Z33" i="2"/>
  <c r="AA33" i="2"/>
  <c r="AD33" i="2"/>
  <c r="AF33" i="2"/>
  <c r="V34" i="2"/>
  <c r="W34" i="2"/>
  <c r="X34" i="2"/>
  <c r="Y34" i="2"/>
  <c r="Z34" i="2"/>
  <c r="AA34" i="2"/>
  <c r="AD34" i="2"/>
  <c r="AG34" i="2" s="1"/>
  <c r="AH34" i="2" s="1"/>
  <c r="AF34" i="2"/>
  <c r="AL34" i="2"/>
  <c r="AM34" i="2"/>
  <c r="AO34" i="2"/>
  <c r="V39" i="2"/>
  <c r="W39" i="2"/>
  <c r="X39" i="2"/>
  <c r="Y39" i="2"/>
  <c r="AD39" i="2"/>
  <c r="AG44" i="2"/>
  <c r="AM44" i="2"/>
  <c r="AO44" i="2" s="1"/>
  <c r="AG45" i="2"/>
  <c r="AM45" i="2"/>
  <c r="AO45" i="2"/>
  <c r="AG46" i="2"/>
  <c r="AM46" i="2"/>
  <c r="AO46" i="2"/>
  <c r="AG47" i="2"/>
  <c r="AM47" i="2"/>
  <c r="AO47" i="2"/>
  <c r="T31" i="2"/>
  <c r="Y31" i="2" s="1"/>
  <c r="T26" i="2"/>
  <c r="Y26" i="2" s="1"/>
  <c r="S9" i="1"/>
  <c r="S36" i="1"/>
  <c r="AA25" i="2" l="1"/>
  <c r="Z28" i="2"/>
  <c r="AP28" i="2" s="1"/>
  <c r="AI32" i="2"/>
  <c r="AL32" i="2" s="1"/>
  <c r="AO32" i="2" s="1"/>
  <c r="AA30" i="2"/>
  <c r="AJ30" i="2"/>
  <c r="AM30" i="2" s="1"/>
  <c r="AO30" i="2" s="1"/>
  <c r="AG25" i="2"/>
  <c r="AH25" i="2" s="1"/>
  <c r="Z39" i="2"/>
  <c r="AA39" i="2" s="1"/>
  <c r="AB39" i="2" s="1"/>
  <c r="Z29" i="2"/>
  <c r="AB34" i="2"/>
  <c r="Z27" i="2"/>
  <c r="AP27" i="2" s="1"/>
  <c r="AG33" i="2"/>
  <c r="AH33" i="2" s="1"/>
  <c r="AG31" i="2"/>
  <c r="AH31" i="2" s="1"/>
  <c r="AG30" i="2"/>
  <c r="AH30" i="2" s="1"/>
  <c r="AI30" i="2" s="1"/>
  <c r="AL30" i="2" s="1"/>
  <c r="AP32" i="2"/>
  <c r="AB27" i="2"/>
  <c r="AA28" i="2"/>
  <c r="AB28" i="2"/>
  <c r="AP34" i="2"/>
  <c r="AB30" i="2"/>
  <c r="AB25" i="2" l="1"/>
  <c r="AI25" i="2"/>
  <c r="AL25" i="2" s="1"/>
  <c r="AJ25" i="2"/>
  <c r="AM25" i="2" s="1"/>
  <c r="AB33" i="2"/>
  <c r="AI33" i="2"/>
  <c r="AL33" i="2" s="1"/>
  <c r="AA27" i="2"/>
  <c r="AI31" i="2"/>
  <c r="AL31" i="2" s="1"/>
  <c r="AP29" i="2"/>
  <c r="AB29" i="2"/>
  <c r="AP33" i="2"/>
  <c r="AJ33" i="2"/>
  <c r="AM33" i="2" s="1"/>
  <c r="AP25" i="2"/>
  <c r="AP30" i="2"/>
  <c r="AO33" i="2" l="1"/>
  <c r="AO25" i="2"/>
  <c r="AM57" i="1"/>
  <c r="AO57" i="1"/>
  <c r="AP57" i="1"/>
  <c r="AB57" i="1"/>
  <c r="AC57" i="1"/>
  <c r="V55" i="1"/>
  <c r="W55" i="1"/>
  <c r="X55" i="1"/>
  <c r="Y55" i="1"/>
  <c r="Z55" i="1"/>
  <c r="AA55" i="1"/>
  <c r="AB55" i="1"/>
  <c r="AC55" i="1" s="1"/>
  <c r="V56" i="1"/>
  <c r="W56" i="1"/>
  <c r="X56" i="1"/>
  <c r="Y56" i="1"/>
  <c r="Z56" i="1"/>
  <c r="AA56" i="1"/>
  <c r="AB56" i="1"/>
  <c r="AC56" i="1"/>
  <c r="V57" i="1"/>
  <c r="W57" i="1"/>
  <c r="X57" i="1"/>
  <c r="Y57" i="1"/>
  <c r="Z57" i="1"/>
  <c r="AA57" i="1"/>
  <c r="AB54" i="1"/>
  <c r="AC54" i="1" s="1"/>
  <c r="AD13" i="1"/>
  <c r="AG13" i="1" s="1"/>
  <c r="AL4" i="1"/>
  <c r="AM4" i="1"/>
  <c r="AO4" i="1" s="1"/>
  <c r="AL5" i="1"/>
  <c r="AO5" i="1" s="1"/>
  <c r="AM5" i="1"/>
  <c r="AL6" i="1"/>
  <c r="AM6" i="1"/>
  <c r="AO6" i="1"/>
  <c r="AL7" i="1"/>
  <c r="AM7" i="1"/>
  <c r="AO7" i="1"/>
  <c r="AL8" i="1"/>
  <c r="AM8" i="1"/>
  <c r="AO8" i="1"/>
  <c r="AL9" i="1"/>
  <c r="AM9" i="1"/>
  <c r="AO9" i="1"/>
  <c r="AL10" i="1"/>
  <c r="AM10" i="1"/>
  <c r="AO10" i="1"/>
  <c r="AL11" i="1"/>
  <c r="AM11" i="1"/>
  <c r="AO11" i="1" s="1"/>
  <c r="AL12" i="1"/>
  <c r="AO12" i="1" s="1"/>
  <c r="AM12" i="1"/>
  <c r="AL13" i="1"/>
  <c r="AM13" i="1"/>
  <c r="AO13" i="1"/>
  <c r="AL14" i="1"/>
  <c r="AM14" i="1"/>
  <c r="AO14" i="1"/>
  <c r="AL15" i="1"/>
  <c r="AM15" i="1"/>
  <c r="AO15" i="1"/>
  <c r="AL16" i="1"/>
  <c r="AM16" i="1"/>
  <c r="AO16" i="1"/>
  <c r="AP16" i="1"/>
  <c r="AL17" i="1"/>
  <c r="AM17" i="1"/>
  <c r="AO17" i="1"/>
  <c r="AL18" i="1"/>
  <c r="AO18" i="1" s="1"/>
  <c r="AM18" i="1"/>
  <c r="AL19" i="1"/>
  <c r="AM19" i="1"/>
  <c r="AO19" i="1"/>
  <c r="AL20" i="1"/>
  <c r="AO20" i="1" s="1"/>
  <c r="AM20" i="1"/>
  <c r="AL21" i="1"/>
  <c r="AM21" i="1"/>
  <c r="AO21" i="1"/>
  <c r="AL22" i="1"/>
  <c r="AM22" i="1"/>
  <c r="AL23" i="1"/>
  <c r="AO23" i="1" s="1"/>
  <c r="AM23" i="1"/>
  <c r="AL24" i="1"/>
  <c r="AM24" i="1"/>
  <c r="AO24" i="1"/>
  <c r="AP24" i="1"/>
  <c r="AL25" i="1"/>
  <c r="AM25" i="1"/>
  <c r="AO25" i="1"/>
  <c r="AL26" i="1"/>
  <c r="AO26" i="1" s="1"/>
  <c r="AM26" i="1"/>
  <c r="AL27" i="1"/>
  <c r="AM27" i="1"/>
  <c r="AO27" i="1"/>
  <c r="AL28" i="1"/>
  <c r="AM28" i="1"/>
  <c r="AO28" i="1"/>
  <c r="AL29" i="1"/>
  <c r="AM29" i="1"/>
  <c r="AO29" i="1"/>
  <c r="AL30" i="1"/>
  <c r="AM30" i="1"/>
  <c r="AO30" i="1"/>
  <c r="AP30" i="1"/>
  <c r="V4" i="1"/>
  <c r="W4" i="1"/>
  <c r="X4" i="1"/>
  <c r="Y4" i="1"/>
  <c r="Z4" i="1"/>
  <c r="AA4" i="1"/>
  <c r="AD4" i="1"/>
  <c r="AG4" i="1" s="1"/>
  <c r="AH4" i="1" s="1"/>
  <c r="AF4" i="1"/>
  <c r="V5" i="1"/>
  <c r="W5" i="1"/>
  <c r="X5" i="1"/>
  <c r="Y5" i="1"/>
  <c r="Z5" i="1"/>
  <c r="AA5" i="1" s="1"/>
  <c r="AD5" i="1"/>
  <c r="AF5" i="1"/>
  <c r="AG5" i="1"/>
  <c r="AH5" i="1" s="1"/>
  <c r="AB5" i="1" s="1"/>
  <c r="V6" i="1"/>
  <c r="W6" i="1"/>
  <c r="X6" i="1"/>
  <c r="Y6" i="1"/>
  <c r="Z6" i="1"/>
  <c r="AA6" i="1"/>
  <c r="AD6" i="1"/>
  <c r="AG6" i="1" s="1"/>
  <c r="AF6" i="1"/>
  <c r="V7" i="1"/>
  <c r="W7" i="1"/>
  <c r="X7" i="1"/>
  <c r="Y7" i="1"/>
  <c r="Z7" i="1"/>
  <c r="AD7" i="1"/>
  <c r="AF7" i="1"/>
  <c r="AG7" i="1"/>
  <c r="AP7" i="1" s="1"/>
  <c r="AH7" i="1"/>
  <c r="V8" i="1"/>
  <c r="W8" i="1"/>
  <c r="X8" i="1"/>
  <c r="Y8" i="1"/>
  <c r="Z8" i="1" s="1"/>
  <c r="AD8" i="1"/>
  <c r="AG8" i="1" s="1"/>
  <c r="AF8" i="1"/>
  <c r="V9" i="1"/>
  <c r="W9" i="1"/>
  <c r="X9" i="1"/>
  <c r="Y9" i="1"/>
  <c r="Z9" i="1"/>
  <c r="AD9" i="1"/>
  <c r="AF9" i="1"/>
  <c r="AG9" i="1" s="1"/>
  <c r="AH9" i="1" s="1"/>
  <c r="V10" i="1"/>
  <c r="Z10" i="1" s="1"/>
  <c r="W10" i="1"/>
  <c r="X10" i="1"/>
  <c r="Y10" i="1"/>
  <c r="AD10" i="1"/>
  <c r="AF10" i="1"/>
  <c r="AG10" i="1"/>
  <c r="AH10" i="1" s="1"/>
  <c r="V11" i="1"/>
  <c r="W11" i="1"/>
  <c r="X11" i="1"/>
  <c r="Y11" i="1"/>
  <c r="Z11" i="1"/>
  <c r="AA11" i="1" s="1"/>
  <c r="AD11" i="1"/>
  <c r="AF11" i="1"/>
  <c r="V12" i="1"/>
  <c r="W12" i="1"/>
  <c r="X12" i="1"/>
  <c r="Y12" i="1"/>
  <c r="Z12" i="1"/>
  <c r="AA12" i="1" s="1"/>
  <c r="AD12" i="1"/>
  <c r="AF12" i="1"/>
  <c r="AG12" i="1" s="1"/>
  <c r="AH12" i="1" s="1"/>
  <c r="AB12" i="1" s="1"/>
  <c r="V13" i="1"/>
  <c r="Z13" i="1" s="1"/>
  <c r="W13" i="1"/>
  <c r="X13" i="1"/>
  <c r="Y13" i="1"/>
  <c r="AF13" i="1"/>
  <c r="V14" i="1"/>
  <c r="Z14" i="1" s="1"/>
  <c r="W14" i="1"/>
  <c r="X14" i="1"/>
  <c r="Y14" i="1"/>
  <c r="AD14" i="1"/>
  <c r="AG14" i="1" s="1"/>
  <c r="AH14" i="1" s="1"/>
  <c r="AF14" i="1"/>
  <c r="V15" i="1"/>
  <c r="W15" i="1"/>
  <c r="X15" i="1"/>
  <c r="Y15" i="1"/>
  <c r="Z15" i="1" s="1"/>
  <c r="AD15" i="1"/>
  <c r="AG15" i="1" s="1"/>
  <c r="AH15" i="1" s="1"/>
  <c r="AF15" i="1"/>
  <c r="V16" i="1"/>
  <c r="Z16" i="1" s="1"/>
  <c r="W16" i="1"/>
  <c r="X16" i="1"/>
  <c r="Y16" i="1"/>
  <c r="AD16" i="1"/>
  <c r="AF16" i="1"/>
  <c r="AG16" i="1" s="1"/>
  <c r="AH16" i="1" s="1"/>
  <c r="V17" i="1"/>
  <c r="W17" i="1"/>
  <c r="X17" i="1"/>
  <c r="Y17" i="1"/>
  <c r="Z17" i="1"/>
  <c r="AA17" i="1"/>
  <c r="AD17" i="1"/>
  <c r="AF17" i="1"/>
  <c r="V18" i="1"/>
  <c r="W18" i="1"/>
  <c r="X18" i="1"/>
  <c r="Y18" i="1"/>
  <c r="Z18" i="1"/>
  <c r="AA18" i="1"/>
  <c r="AD18" i="1"/>
  <c r="AG18" i="1" s="1"/>
  <c r="AF18" i="1"/>
  <c r="V19" i="1"/>
  <c r="Z19" i="1" s="1"/>
  <c r="W19" i="1"/>
  <c r="X19" i="1"/>
  <c r="Y19" i="1"/>
  <c r="AD19" i="1"/>
  <c r="AF19" i="1"/>
  <c r="AG19" i="1"/>
  <c r="AH19" i="1" s="1"/>
  <c r="V20" i="1"/>
  <c r="W20" i="1"/>
  <c r="X20" i="1"/>
  <c r="Y20" i="1"/>
  <c r="Z20" i="1"/>
  <c r="AA20" i="1"/>
  <c r="AD20" i="1"/>
  <c r="AF20" i="1"/>
  <c r="V21" i="1"/>
  <c r="W21" i="1"/>
  <c r="X21" i="1"/>
  <c r="Y21" i="1"/>
  <c r="Z21" i="1"/>
  <c r="AA21" i="1" s="1"/>
  <c r="AD21" i="1"/>
  <c r="AF21" i="1"/>
  <c r="V22" i="1"/>
  <c r="Z22" i="1" s="1"/>
  <c r="W22" i="1"/>
  <c r="X22" i="1"/>
  <c r="Y22" i="1"/>
  <c r="AD22" i="1"/>
  <c r="AG22" i="1" s="1"/>
  <c r="AH22" i="1" s="1"/>
  <c r="AF22" i="1"/>
  <c r="V23" i="1"/>
  <c r="W23" i="1"/>
  <c r="X23" i="1"/>
  <c r="Y23" i="1"/>
  <c r="Z23" i="1"/>
  <c r="AA23" i="1" s="1"/>
  <c r="AD23" i="1"/>
  <c r="AF23" i="1"/>
  <c r="V24" i="1"/>
  <c r="W24" i="1"/>
  <c r="X24" i="1"/>
  <c r="Y24" i="1"/>
  <c r="Z24" i="1" s="1"/>
  <c r="AD24" i="1"/>
  <c r="AG24" i="1" s="1"/>
  <c r="AH24" i="1" s="1"/>
  <c r="AF24" i="1"/>
  <c r="V25" i="1"/>
  <c r="W25" i="1"/>
  <c r="X25" i="1"/>
  <c r="Y25" i="1"/>
  <c r="Z25" i="1"/>
  <c r="AA25" i="1"/>
  <c r="AD25" i="1"/>
  <c r="AF25" i="1"/>
  <c r="AG25" i="1" s="1"/>
  <c r="AH25" i="1" s="1"/>
  <c r="AB25" i="1" s="1"/>
  <c r="V26" i="1"/>
  <c r="Z26" i="1" s="1"/>
  <c r="W26" i="1"/>
  <c r="X26" i="1"/>
  <c r="Y26" i="1"/>
  <c r="AD26" i="1"/>
  <c r="AF26" i="1"/>
  <c r="AG26" i="1" s="1"/>
  <c r="AH26" i="1" s="1"/>
  <c r="V27" i="1"/>
  <c r="W27" i="1"/>
  <c r="X27" i="1"/>
  <c r="Y27" i="1"/>
  <c r="Z27" i="1"/>
  <c r="AA27" i="1" s="1"/>
  <c r="AD27" i="1"/>
  <c r="AF27" i="1"/>
  <c r="V28" i="1"/>
  <c r="W28" i="1"/>
  <c r="X28" i="1"/>
  <c r="Y28" i="1"/>
  <c r="Z28" i="1"/>
  <c r="AA28" i="1"/>
  <c r="AD28" i="1"/>
  <c r="AF28" i="1"/>
  <c r="V29" i="1"/>
  <c r="Z29" i="1" s="1"/>
  <c r="W29" i="1"/>
  <c r="X29" i="1"/>
  <c r="Y29" i="1"/>
  <c r="AD29" i="1"/>
  <c r="AF29" i="1"/>
  <c r="V30" i="1"/>
  <c r="W30" i="1"/>
  <c r="Z30" i="1" s="1"/>
  <c r="X30" i="1"/>
  <c r="Y30" i="1"/>
  <c r="AD30" i="1"/>
  <c r="AG30" i="1" s="1"/>
  <c r="AH30" i="1" s="1"/>
  <c r="AF30" i="1"/>
  <c r="Q16" i="2"/>
  <c r="Y16" i="2" s="1"/>
  <c r="V24" i="2"/>
  <c r="W24" i="2"/>
  <c r="X24" i="2"/>
  <c r="Y24" i="2"/>
  <c r="AD24" i="2"/>
  <c r="AF24" i="2"/>
  <c r="AL24" i="2"/>
  <c r="AM24" i="2"/>
  <c r="AO24" i="2"/>
  <c r="V4" i="2"/>
  <c r="W4" i="2"/>
  <c r="X4" i="2"/>
  <c r="Y4" i="2"/>
  <c r="AD4" i="2"/>
  <c r="AF4" i="2"/>
  <c r="AM4" i="2"/>
  <c r="V5" i="2"/>
  <c r="W5" i="2"/>
  <c r="X5" i="2"/>
  <c r="Y5" i="2"/>
  <c r="AD5" i="2"/>
  <c r="AF5" i="2"/>
  <c r="AL5" i="2"/>
  <c r="AM5" i="2"/>
  <c r="V6" i="2"/>
  <c r="W6" i="2"/>
  <c r="X6" i="2"/>
  <c r="Y6" i="2"/>
  <c r="AD6" i="2"/>
  <c r="AF6" i="2"/>
  <c r="AM6" i="2"/>
  <c r="V7" i="2"/>
  <c r="W7" i="2"/>
  <c r="X7" i="2"/>
  <c r="Y7" i="2"/>
  <c r="AD7" i="2"/>
  <c r="AF7" i="2"/>
  <c r="AL7" i="2"/>
  <c r="AO7" i="2" s="1"/>
  <c r="AM7" i="2"/>
  <c r="V8" i="2"/>
  <c r="W8" i="2"/>
  <c r="X8" i="2"/>
  <c r="Y8" i="2"/>
  <c r="AD8" i="2"/>
  <c r="AF8" i="2"/>
  <c r="V9" i="2"/>
  <c r="W9" i="2"/>
  <c r="X9" i="2"/>
  <c r="Y9" i="2"/>
  <c r="AD9" i="2"/>
  <c r="AF9" i="2"/>
  <c r="AM9" i="2"/>
  <c r="V10" i="2"/>
  <c r="W10" i="2"/>
  <c r="X10" i="2"/>
  <c r="Y10" i="2"/>
  <c r="AD10" i="2"/>
  <c r="AF10" i="2"/>
  <c r="V11" i="2"/>
  <c r="W11" i="2"/>
  <c r="Y11" i="2"/>
  <c r="AD11" i="2"/>
  <c r="AF11" i="2"/>
  <c r="W12" i="2"/>
  <c r="X12" i="2"/>
  <c r="Y12" i="2"/>
  <c r="AD12" i="2"/>
  <c r="AF12" i="2"/>
  <c r="V13" i="2"/>
  <c r="W13" i="2"/>
  <c r="X13" i="2"/>
  <c r="Y13" i="2"/>
  <c r="AD13" i="2"/>
  <c r="AF13" i="2"/>
  <c r="AM13" i="2"/>
  <c r="V14" i="2"/>
  <c r="W14" i="2"/>
  <c r="X14" i="2"/>
  <c r="Y14" i="2"/>
  <c r="AD14" i="2"/>
  <c r="AF14" i="2"/>
  <c r="AL14" i="2"/>
  <c r="AM14" i="2"/>
  <c r="AO14" i="2"/>
  <c r="V15" i="2"/>
  <c r="W15" i="2"/>
  <c r="X15" i="2"/>
  <c r="Y15" i="2"/>
  <c r="Z15" i="2" s="1"/>
  <c r="AA15" i="2" s="1"/>
  <c r="AD15" i="2"/>
  <c r="AG15" i="2" s="1"/>
  <c r="AH15" i="2" s="1"/>
  <c r="AF15" i="2"/>
  <c r="AL15" i="2"/>
  <c r="AM15" i="2"/>
  <c r="V16" i="2"/>
  <c r="W16" i="2"/>
  <c r="X16" i="2"/>
  <c r="AD16" i="2"/>
  <c r="AF16" i="2"/>
  <c r="AM16" i="2"/>
  <c r="V17" i="2"/>
  <c r="W17" i="2"/>
  <c r="X17" i="2"/>
  <c r="Y17" i="2"/>
  <c r="AD17" i="2"/>
  <c r="AF17" i="2"/>
  <c r="AM17" i="2"/>
  <c r="AL34" i="1"/>
  <c r="AM34" i="1"/>
  <c r="AO34" i="1" s="1"/>
  <c r="AL37" i="1"/>
  <c r="AM37" i="1"/>
  <c r="AO37" i="1" s="1"/>
  <c r="AL38" i="1"/>
  <c r="AM38" i="1"/>
  <c r="AL39" i="1"/>
  <c r="AM39" i="1"/>
  <c r="AO39" i="1" s="1"/>
  <c r="AL40" i="1"/>
  <c r="AM40" i="1"/>
  <c r="V34" i="1"/>
  <c r="W34" i="1"/>
  <c r="X34" i="1"/>
  <c r="Y34" i="1"/>
  <c r="AD34" i="1"/>
  <c r="AF34" i="1"/>
  <c r="V36" i="1"/>
  <c r="W36" i="1"/>
  <c r="X36" i="1"/>
  <c r="Y36" i="1"/>
  <c r="AD36" i="1"/>
  <c r="AF36" i="1"/>
  <c r="V37" i="1"/>
  <c r="W37" i="1"/>
  <c r="X37" i="1"/>
  <c r="Y37" i="1"/>
  <c r="AD37" i="1"/>
  <c r="AF37" i="1"/>
  <c r="V38" i="1"/>
  <c r="W38" i="1"/>
  <c r="X38" i="1"/>
  <c r="Y38" i="1"/>
  <c r="AD38" i="1"/>
  <c r="AF38" i="1"/>
  <c r="AO15" i="2" l="1"/>
  <c r="AG17" i="2"/>
  <c r="AH17" i="2" s="1"/>
  <c r="AG16" i="2"/>
  <c r="AH16" i="2" s="1"/>
  <c r="AG10" i="2"/>
  <c r="AH10" i="2" s="1"/>
  <c r="AI10" i="2" s="1"/>
  <c r="AL10" i="2" s="1"/>
  <c r="AG9" i="2"/>
  <c r="AH9" i="2" s="1"/>
  <c r="AG8" i="2"/>
  <c r="AH8" i="2" s="1"/>
  <c r="AI8" i="2" s="1"/>
  <c r="AL8" i="2" s="1"/>
  <c r="AG29" i="1"/>
  <c r="AG28" i="1"/>
  <c r="AG27" i="1"/>
  <c r="AH27" i="1" s="1"/>
  <c r="AB27" i="1" s="1"/>
  <c r="AP26" i="1"/>
  <c r="AG23" i="1"/>
  <c r="AG21" i="1"/>
  <c r="AH21" i="1" s="1"/>
  <c r="AB21" i="1" s="1"/>
  <c r="AG20" i="1"/>
  <c r="AH20" i="1" s="1"/>
  <c r="AB20" i="1" s="1"/>
  <c r="AP18" i="1"/>
  <c r="AH18" i="1"/>
  <c r="AB18" i="1" s="1"/>
  <c r="AG17" i="1"/>
  <c r="AH17" i="1" s="1"/>
  <c r="AB17" i="1" s="1"/>
  <c r="AG11" i="1"/>
  <c r="AH11" i="1" s="1"/>
  <c r="AB11" i="1" s="1"/>
  <c r="AP10" i="1"/>
  <c r="AG36" i="1"/>
  <c r="AH36" i="1" s="1"/>
  <c r="AB15" i="2"/>
  <c r="AG4" i="2"/>
  <c r="AH4" i="2" s="1"/>
  <c r="Z14" i="2"/>
  <c r="AA14" i="2" s="1"/>
  <c r="Z10" i="2"/>
  <c r="Z4" i="2"/>
  <c r="AI4" i="2" s="1"/>
  <c r="AL4" i="2" s="1"/>
  <c r="AH8" i="1"/>
  <c r="AP8" i="1"/>
  <c r="AP29" i="1"/>
  <c r="AH29" i="1"/>
  <c r="AB29" i="1" s="1"/>
  <c r="AH6" i="1"/>
  <c r="AB6" i="1" s="1"/>
  <c r="AP6" i="1"/>
  <c r="AP21" i="1"/>
  <c r="AH23" i="1"/>
  <c r="AB23" i="1" s="1"/>
  <c r="AP23" i="1"/>
  <c r="AP19" i="1"/>
  <c r="AP15" i="1"/>
  <c r="AP9" i="1"/>
  <c r="AP5" i="1"/>
  <c r="AP25" i="1"/>
  <c r="AP22" i="1"/>
  <c r="AP14" i="1"/>
  <c r="AP17" i="1"/>
  <c r="AP4" i="1"/>
  <c r="AP12" i="1"/>
  <c r="AP20" i="1"/>
  <c r="AH13" i="1"/>
  <c r="AP13" i="1"/>
  <c r="AB4" i="1"/>
  <c r="AA8" i="1"/>
  <c r="AB8" i="1"/>
  <c r="AA13" i="1"/>
  <c r="AB13" i="1"/>
  <c r="AA15" i="1"/>
  <c r="AB15" i="1"/>
  <c r="AA29" i="1"/>
  <c r="AA19" i="1"/>
  <c r="AB19" i="1"/>
  <c r="AB24" i="1"/>
  <c r="AA24" i="1"/>
  <c r="AA10" i="1"/>
  <c r="AB10" i="1"/>
  <c r="AA30" i="1"/>
  <c r="AB30" i="1"/>
  <c r="AA22" i="1"/>
  <c r="AB22" i="1"/>
  <c r="AA16" i="1"/>
  <c r="AB16" i="1"/>
  <c r="AA14" i="1"/>
  <c r="AB14" i="1"/>
  <c r="AA26" i="1"/>
  <c r="AB26" i="1"/>
  <c r="AB9" i="1"/>
  <c r="AB7" i="1"/>
  <c r="AO40" i="1"/>
  <c r="AG34" i="1"/>
  <c r="AH34" i="1" s="1"/>
  <c r="Z38" i="1"/>
  <c r="Z34" i="1"/>
  <c r="AB34" i="1" s="1"/>
  <c r="AO38" i="1"/>
  <c r="Z16" i="2"/>
  <c r="AG38" i="1"/>
  <c r="AH38" i="1" s="1"/>
  <c r="AG37" i="1"/>
  <c r="AH37" i="1" s="1"/>
  <c r="AA38" i="1"/>
  <c r="Z36" i="1"/>
  <c r="Z37" i="1"/>
  <c r="Z13" i="2"/>
  <c r="AG7" i="2"/>
  <c r="AH7" i="2" s="1"/>
  <c r="AO5" i="2"/>
  <c r="AG12" i="2"/>
  <c r="AH12" i="2" s="1"/>
  <c r="AI12" i="2" s="1"/>
  <c r="AL12" i="2" s="1"/>
  <c r="Z9" i="2"/>
  <c r="AG24" i="2"/>
  <c r="AH24" i="2" s="1"/>
  <c r="AO4" i="2"/>
  <c r="Z17" i="2"/>
  <c r="Z5" i="2"/>
  <c r="AA5" i="2" s="1"/>
  <c r="AG6" i="2"/>
  <c r="AH6" i="2" s="1"/>
  <c r="Z6" i="2"/>
  <c r="Z24" i="2"/>
  <c r="AG5" i="2"/>
  <c r="AH5" i="2" s="1"/>
  <c r="Z7" i="2"/>
  <c r="AA7" i="2" s="1"/>
  <c r="AG14" i="2"/>
  <c r="AH14" i="2" s="1"/>
  <c r="AG11" i="2"/>
  <c r="AH11" i="2" s="1"/>
  <c r="AI11" i="2" s="1"/>
  <c r="AL11" i="2" s="1"/>
  <c r="Z8" i="2"/>
  <c r="AG13" i="2"/>
  <c r="AH13" i="2" s="1"/>
  <c r="AP15" i="2"/>
  <c r="AP17" i="2" l="1"/>
  <c r="AI17" i="2"/>
  <c r="AL17" i="2" s="1"/>
  <c r="AO17" i="2" s="1"/>
  <c r="AA10" i="2"/>
  <c r="AJ10" i="2"/>
  <c r="AM10" i="2" s="1"/>
  <c r="AO10" i="2" s="1"/>
  <c r="AA13" i="2"/>
  <c r="AI13" i="2"/>
  <c r="AL13" i="2" s="1"/>
  <c r="AO13" i="2" s="1"/>
  <c r="AI6" i="2"/>
  <c r="AL6" i="2" s="1"/>
  <c r="AO6" i="2" s="1"/>
  <c r="AA16" i="2"/>
  <c r="AI16" i="2"/>
  <c r="AL16" i="2" s="1"/>
  <c r="AO16" i="2" s="1"/>
  <c r="AA9" i="2"/>
  <c r="AI9" i="2"/>
  <c r="AL9" i="2" s="1"/>
  <c r="AO9" i="2" s="1"/>
  <c r="AP8" i="2"/>
  <c r="AJ8" i="2"/>
  <c r="AM8" i="2" s="1"/>
  <c r="AO8" i="2" s="1"/>
  <c r="AP4" i="2"/>
  <c r="AB36" i="1"/>
  <c r="AJ36" i="1"/>
  <c r="AM36" i="1" s="1"/>
  <c r="AI36" i="1"/>
  <c r="AL36" i="1" s="1"/>
  <c r="AO36" i="1" s="1"/>
  <c r="AH28" i="1"/>
  <c r="AB28" i="1" s="1"/>
  <c r="AP28" i="1"/>
  <c r="AP27" i="1"/>
  <c r="AP11" i="1"/>
  <c r="AB13" i="2"/>
  <c r="AB5" i="2"/>
  <c r="AP5" i="2"/>
  <c r="AB14" i="2"/>
  <c r="AB4" i="2"/>
  <c r="AB24" i="2"/>
  <c r="AB6" i="2"/>
  <c r="AP9" i="2"/>
  <c r="AB17" i="2"/>
  <c r="AA6" i="2"/>
  <c r="AB9" i="2"/>
  <c r="AP10" i="2"/>
  <c r="AB10" i="2"/>
  <c r="AA4" i="2"/>
  <c r="AB38" i="1"/>
  <c r="AA34" i="1"/>
  <c r="AP34" i="1"/>
  <c r="AB16" i="2"/>
  <c r="AP16" i="2"/>
  <c r="AP37" i="1"/>
  <c r="AP36" i="1"/>
  <c r="AP38" i="1"/>
  <c r="AB37" i="1"/>
  <c r="AA37" i="1"/>
  <c r="AA17" i="2"/>
  <c r="AP6" i="2"/>
  <c r="AB7" i="2"/>
  <c r="AP7" i="2"/>
  <c r="AB8" i="2"/>
  <c r="AA8" i="2"/>
  <c r="AP14" i="2"/>
  <c r="AA24" i="2"/>
  <c r="AP24" i="2"/>
  <c r="AP13" i="2"/>
  <c r="F12" i="2" l="1"/>
  <c r="V12" i="2" s="1"/>
  <c r="Z12" i="2" s="1"/>
  <c r="AJ12" i="2" s="1"/>
  <c r="AM12" i="2" s="1"/>
  <c r="AO12" i="2" s="1"/>
  <c r="G6" i="1"/>
  <c r="E6" i="1"/>
  <c r="O11" i="2"/>
  <c r="X11" i="2" s="1"/>
  <c r="Z11" i="2" s="1"/>
  <c r="AJ11" i="2" s="1"/>
  <c r="AM11" i="2" s="1"/>
  <c r="AO11" i="2" s="1"/>
  <c r="N28" i="1"/>
  <c r="N23" i="1"/>
  <c r="L5" i="1"/>
  <c r="V47" i="2"/>
  <c r="W47" i="2"/>
  <c r="X47" i="2"/>
  <c r="Y47" i="2"/>
  <c r="G26" i="2"/>
  <c r="W26" i="2" s="1"/>
  <c r="D31" i="2"/>
  <c r="V31" i="2" s="1"/>
  <c r="Z31" i="2" s="1"/>
  <c r="D26" i="2"/>
  <c r="C26" i="2"/>
  <c r="V26" i="2" s="1"/>
  <c r="Z26" i="2" s="1"/>
  <c r="AJ26" i="2" l="1"/>
  <c r="AM26" i="2" s="1"/>
  <c r="AO26" i="2" s="1"/>
  <c r="AA26" i="2"/>
  <c r="AP26" i="2"/>
  <c r="AB26" i="2"/>
  <c r="AJ31" i="2"/>
  <c r="AM31" i="2" s="1"/>
  <c r="AO31" i="2" s="1"/>
  <c r="AA31" i="2"/>
  <c r="AB31" i="2"/>
  <c r="AP31" i="2"/>
  <c r="Z47" i="2"/>
  <c r="AA12" i="2"/>
  <c r="AB12" i="2"/>
  <c r="AP12" i="2"/>
  <c r="AP11" i="2"/>
  <c r="AA11" i="2"/>
  <c r="AB11" i="2"/>
  <c r="V50" i="1"/>
  <c r="V49" i="1"/>
  <c r="AM54" i="1"/>
  <c r="AO54" i="1" s="1"/>
  <c r="AM55" i="1"/>
  <c r="AO55" i="1" s="1"/>
  <c r="C23" i="3"/>
  <c r="C24" i="3" s="1"/>
  <c r="B23" i="3"/>
  <c r="B24" i="3" s="1"/>
  <c r="F22" i="3"/>
  <c r="F23" i="3" s="1"/>
  <c r="F24" i="3" s="1"/>
  <c r="E22" i="3"/>
  <c r="E23" i="3" s="1"/>
  <c r="E24" i="3" s="1"/>
  <c r="C18" i="3"/>
  <c r="B18" i="3"/>
  <c r="F17" i="3"/>
  <c r="F18" i="3" s="1"/>
  <c r="E17" i="3"/>
  <c r="E18" i="3" s="1"/>
  <c r="C17" i="3"/>
  <c r="B17" i="3"/>
  <c r="F16" i="3"/>
  <c r="E16" i="3"/>
  <c r="F9" i="3"/>
  <c r="E9" i="3"/>
  <c r="C9" i="3"/>
  <c r="F8" i="3"/>
  <c r="E8" i="3"/>
  <c r="C8" i="3"/>
  <c r="F6" i="3"/>
  <c r="E6" i="3"/>
  <c r="C6" i="3"/>
  <c r="F5" i="3"/>
  <c r="E5" i="3"/>
  <c r="C5" i="3"/>
  <c r="Y46" i="2"/>
  <c r="X46" i="2"/>
  <c r="W46" i="2"/>
  <c r="V46" i="2"/>
  <c r="Y45" i="2"/>
  <c r="X45" i="2"/>
  <c r="W45" i="2"/>
  <c r="V45" i="2"/>
  <c r="Y44" i="2"/>
  <c r="X44" i="2"/>
  <c r="W44" i="2"/>
  <c r="V44" i="2"/>
  <c r="AM43" i="2"/>
  <c r="AO43" i="2" s="1"/>
  <c r="AG43" i="2"/>
  <c r="Y43" i="2"/>
  <c r="X43" i="2"/>
  <c r="W43" i="2"/>
  <c r="V43" i="2"/>
  <c r="AO38" i="2"/>
  <c r="AD38" i="2"/>
  <c r="AG38" i="2" s="1"/>
  <c r="Y38" i="2"/>
  <c r="X38" i="2"/>
  <c r="W38" i="2"/>
  <c r="V38" i="2"/>
  <c r="AM19" i="2"/>
  <c r="AF19" i="2"/>
  <c r="AD19" i="2"/>
  <c r="Y19" i="2"/>
  <c r="X19" i="2"/>
  <c r="W19" i="2"/>
  <c r="V19" i="2"/>
  <c r="AM18" i="2"/>
  <c r="AL18" i="2"/>
  <c r="AF18" i="2"/>
  <c r="Y18" i="2"/>
  <c r="X18" i="2"/>
  <c r="W18" i="2"/>
  <c r="V18" i="2"/>
  <c r="AM3" i="2"/>
  <c r="AF3" i="2"/>
  <c r="AD3" i="2"/>
  <c r="X3" i="2"/>
  <c r="W3" i="2"/>
  <c r="V3" i="2"/>
  <c r="Y3" i="2"/>
  <c r="AM56" i="1"/>
  <c r="AO56" i="1" s="1"/>
  <c r="Z54" i="1"/>
  <c r="Y54" i="1"/>
  <c r="X54" i="1"/>
  <c r="W54" i="1"/>
  <c r="V54" i="1"/>
  <c r="AO50" i="1"/>
  <c r="AD50" i="1"/>
  <c r="AG50" i="1" s="1"/>
  <c r="Y50" i="1"/>
  <c r="W50" i="1"/>
  <c r="X50" i="1"/>
  <c r="AO49" i="1"/>
  <c r="AD49" i="1"/>
  <c r="AG49" i="1" s="1"/>
  <c r="Y49" i="1"/>
  <c r="X49" i="1"/>
  <c r="W49" i="1"/>
  <c r="AF45" i="1"/>
  <c r="Y45" i="1"/>
  <c r="X45" i="1"/>
  <c r="W45" i="1"/>
  <c r="V45" i="1"/>
  <c r="AF44" i="1"/>
  <c r="AD44" i="1"/>
  <c r="Y44" i="1"/>
  <c r="X44" i="1"/>
  <c r="W44" i="1"/>
  <c r="V44" i="1"/>
  <c r="AF43" i="1"/>
  <c r="AD43" i="1"/>
  <c r="Y43" i="1"/>
  <c r="X43" i="1"/>
  <c r="W43" i="1"/>
  <c r="V43" i="1"/>
  <c r="AM42" i="1"/>
  <c r="AF42" i="1"/>
  <c r="AD42" i="1"/>
  <c r="Y42" i="1"/>
  <c r="X42" i="1"/>
  <c r="W42" i="1"/>
  <c r="V42" i="1"/>
  <c r="AF41" i="1"/>
  <c r="AD41" i="1"/>
  <c r="Y41" i="1"/>
  <c r="X41" i="1"/>
  <c r="W41" i="1"/>
  <c r="V41" i="1"/>
  <c r="AF40" i="1"/>
  <c r="AD40" i="1"/>
  <c r="Y40" i="1"/>
  <c r="X40" i="1"/>
  <c r="W40" i="1"/>
  <c r="V40" i="1"/>
  <c r="AF39" i="1"/>
  <c r="AD39" i="1"/>
  <c r="Y39" i="1"/>
  <c r="W39" i="1"/>
  <c r="V39" i="1"/>
  <c r="X39" i="1"/>
  <c r="AF35" i="1"/>
  <c r="AD35" i="1"/>
  <c r="Y35" i="1"/>
  <c r="X35" i="1"/>
  <c r="W35" i="1"/>
  <c r="V35" i="1"/>
  <c r="AM3" i="1"/>
  <c r="AL3" i="1"/>
  <c r="AF3" i="1"/>
  <c r="AD3" i="1"/>
  <c r="Y3" i="1"/>
  <c r="X3" i="1"/>
  <c r="W3" i="1"/>
  <c r="AB47" i="2" l="1"/>
  <c r="AP47" i="2"/>
  <c r="AG3" i="1"/>
  <c r="AH3" i="1" s="1"/>
  <c r="Z43" i="2"/>
  <c r="AA43" i="2" s="1"/>
  <c r="AB43" i="2" s="1"/>
  <c r="Z45" i="2"/>
  <c r="AG19" i="2"/>
  <c r="AH19" i="2" s="1"/>
  <c r="Z46" i="2"/>
  <c r="AG45" i="1"/>
  <c r="AH45" i="1" s="1"/>
  <c r="AL45" i="1" s="1"/>
  <c r="AO3" i="1"/>
  <c r="AG42" i="1"/>
  <c r="AH42" i="1" s="1"/>
  <c r="AO18" i="2"/>
  <c r="AG3" i="2"/>
  <c r="AH3" i="2" s="1"/>
  <c r="Z18" i="2"/>
  <c r="AA18" i="2" s="1"/>
  <c r="Z3" i="2"/>
  <c r="Z44" i="2"/>
  <c r="Z38" i="2"/>
  <c r="AP38" i="2" s="1"/>
  <c r="Z19" i="2"/>
  <c r="AG18" i="2"/>
  <c r="AH18" i="2" s="1"/>
  <c r="Z45" i="1"/>
  <c r="Z40" i="1"/>
  <c r="AA54" i="1"/>
  <c r="AP54" i="1" s="1"/>
  <c r="Z43" i="1"/>
  <c r="AA43" i="1" s="1"/>
  <c r="AG40" i="1"/>
  <c r="AH40" i="1" s="1"/>
  <c r="AG41" i="1"/>
  <c r="AH41" i="1" s="1"/>
  <c r="AL41" i="1" s="1"/>
  <c r="Z44" i="1"/>
  <c r="AA44" i="1" s="1"/>
  <c r="AG44" i="1"/>
  <c r="AH44" i="1" s="1"/>
  <c r="AL44" i="1" s="1"/>
  <c r="AG43" i="1"/>
  <c r="AH43" i="1" s="1"/>
  <c r="AL43" i="1" s="1"/>
  <c r="Z49" i="1"/>
  <c r="AP49" i="1" s="1"/>
  <c r="Z41" i="1"/>
  <c r="Z35" i="1"/>
  <c r="AA35" i="1" s="1"/>
  <c r="AP56" i="1"/>
  <c r="Z50" i="1"/>
  <c r="AP50" i="1" s="1"/>
  <c r="Z39" i="1"/>
  <c r="Z3" i="1"/>
  <c r="AA3" i="1" s="1"/>
  <c r="AG35" i="1"/>
  <c r="AH35" i="1" s="1"/>
  <c r="AL35" i="1" s="1"/>
  <c r="AG39" i="1"/>
  <c r="AH39" i="1" s="1"/>
  <c r="Z42" i="1"/>
  <c r="AM45" i="1"/>
  <c r="AM44" i="1"/>
  <c r="AA44" i="2" l="1"/>
  <c r="AB44" i="2" s="1"/>
  <c r="AP44" i="2"/>
  <c r="AA3" i="2"/>
  <c r="AI3" i="2"/>
  <c r="AL3" i="2" s="1"/>
  <c r="AO3" i="2" s="1"/>
  <c r="AA46" i="2"/>
  <c r="AB46" i="2" s="1"/>
  <c r="AP46" i="2"/>
  <c r="AA45" i="2"/>
  <c r="AB45" i="2" s="1"/>
  <c r="AP45" i="2"/>
  <c r="AI19" i="2"/>
  <c r="AL19" i="2" s="1"/>
  <c r="AO19" i="2" s="1"/>
  <c r="AO45" i="1"/>
  <c r="AB45" i="1"/>
  <c r="AA39" i="1"/>
  <c r="AP39" i="1"/>
  <c r="AA40" i="1"/>
  <c r="AP40" i="1"/>
  <c r="AP43" i="2"/>
  <c r="AP19" i="2"/>
  <c r="AB19" i="2"/>
  <c r="AA19" i="2"/>
  <c r="AB18" i="2"/>
  <c r="AB3" i="2"/>
  <c r="AO44" i="1"/>
  <c r="AA49" i="1"/>
  <c r="AB49" i="1" s="1"/>
  <c r="AP45" i="1"/>
  <c r="AA45" i="1"/>
  <c r="AL42" i="1"/>
  <c r="AO42" i="1" s="1"/>
  <c r="AA42" i="1"/>
  <c r="AM41" i="1"/>
  <c r="AO41" i="1" s="1"/>
  <c r="AA41" i="1"/>
  <c r="AB40" i="1"/>
  <c r="AP35" i="1"/>
  <c r="AP3" i="2"/>
  <c r="AA38" i="2"/>
  <c r="AB38" i="2" s="1"/>
  <c r="AP18" i="2"/>
  <c r="AB44" i="1"/>
  <c r="AP3" i="1"/>
  <c r="AP44" i="1"/>
  <c r="AP43" i="1"/>
  <c r="AM43" i="1"/>
  <c r="AO43" i="1" s="1"/>
  <c r="AB42" i="1"/>
  <c r="AP41" i="1"/>
  <c r="AP42" i="1"/>
  <c r="AB41" i="1"/>
  <c r="AB43" i="1"/>
  <c r="AB35" i="1"/>
  <c r="AM35" i="1"/>
  <c r="AO35" i="1" s="1"/>
  <c r="AP55" i="1"/>
  <c r="AB3" i="1"/>
  <c r="AB39" i="1"/>
  <c r="AA50" i="1"/>
  <c r="AB5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Alejandro O</author>
  </authors>
  <commentList>
    <comment ref="C3" authorId="0" shapeId="0" xr:uid="{39A708F4-04A9-4591-81BF-14D0A7559D00}">
      <text>
        <r>
          <rPr>
            <b/>
            <sz val="9"/>
            <color indexed="81"/>
            <rFont val="Tahoma"/>
            <family val="2"/>
          </rPr>
          <t>Alejandro O:</t>
        </r>
        <r>
          <rPr>
            <sz val="9"/>
            <color indexed="81"/>
            <rFont val="Tahoma"/>
            <family val="2"/>
          </rPr>
          <t xml:space="preserve">
apoyo en empaque 
109% en empaque igual a 3978pz en maquina</t>
        </r>
      </text>
    </comment>
    <comment ref="N3" authorId="0" shapeId="0" xr:uid="{377EDE7C-922C-46E8-B925-01322E34132D}">
      <text>
        <r>
          <rPr>
            <b/>
            <sz val="9"/>
            <color indexed="81"/>
            <rFont val="Tahoma"/>
            <family val="2"/>
          </rPr>
          <t>Alejandro O:</t>
        </r>
        <r>
          <rPr>
            <sz val="9"/>
            <color indexed="81"/>
            <rFont val="Tahoma"/>
            <family val="2"/>
          </rPr>
          <t xml:space="preserve">
720pz empacadas
</t>
        </r>
      </text>
    </comment>
    <comment ref="L5" authorId="0" shapeId="0" xr:uid="{0003F3D4-0033-41FB-8AD1-A034DD91A99B}">
      <text>
        <r>
          <rPr>
            <b/>
            <sz val="9"/>
            <color indexed="81"/>
            <rFont val="Tahoma"/>
            <family val="2"/>
          </rPr>
          <t>Alejandro O:</t>
        </r>
        <r>
          <rPr>
            <sz val="9"/>
            <color indexed="81"/>
            <rFont val="Tahoma"/>
            <family val="2"/>
          </rPr>
          <t xml:space="preserve">
620pz en el turno 2</t>
        </r>
      </text>
    </comment>
    <comment ref="E6" authorId="0" shapeId="0" xr:uid="{BD9D4638-8B9E-484B-BFAF-197A737B779B}">
      <text>
        <r>
          <rPr>
            <b/>
            <sz val="9"/>
            <color indexed="81"/>
            <rFont val="Tahoma"/>
            <family val="2"/>
          </rPr>
          <t>Alejandro O:</t>
        </r>
        <r>
          <rPr>
            <sz val="9"/>
            <color indexed="81"/>
            <rFont val="Tahoma"/>
            <family val="2"/>
          </rPr>
          <t xml:space="preserve">
Apoyo en empaque
92% en empaque tail = 2700 pz</t>
        </r>
      </text>
    </comment>
    <comment ref="F6" authorId="0" shapeId="0" xr:uid="{6FB501EE-3BB4-47A6-B235-3496F7CA165E}">
      <text>
        <r>
          <rPr>
            <b/>
            <sz val="9"/>
            <color indexed="81"/>
            <rFont val="Tahoma"/>
            <family val="2"/>
          </rPr>
          <t>Alejandro O:</t>
        </r>
        <r>
          <rPr>
            <sz val="9"/>
            <color indexed="81"/>
            <rFont val="Tahoma"/>
            <family val="2"/>
          </rPr>
          <t xml:space="preserve">
Apoyo en empaque tail 61%=1830 pz</t>
        </r>
      </text>
    </comment>
    <comment ref="G6" authorId="0" shapeId="0" xr:uid="{414A22C4-762F-42EE-91A8-9983254EEAA2}">
      <text>
        <r>
          <rPr>
            <b/>
            <sz val="9"/>
            <color indexed="81"/>
            <rFont val="Tahoma"/>
            <family val="2"/>
          </rPr>
          <t>Alejandro O:</t>
        </r>
        <r>
          <rPr>
            <sz val="9"/>
            <color indexed="81"/>
            <rFont val="Tahoma"/>
            <family val="2"/>
          </rPr>
          <t xml:space="preserve">
Apoyo en empaque tail 
86% en empaque=2580pz</t>
        </r>
      </text>
    </comment>
    <comment ref="O27" authorId="0" shapeId="0" xr:uid="{8764F5BB-86A5-44A7-9C54-1A70301449BB}">
      <text>
        <r>
          <rPr>
            <b/>
            <sz val="9"/>
            <color indexed="81"/>
            <rFont val="Tahoma"/>
            <family val="2"/>
          </rPr>
          <t>Alejandro O:</t>
        </r>
        <r>
          <rPr>
            <sz val="9"/>
            <color indexed="81"/>
            <rFont val="Tahoma"/>
            <family val="2"/>
          </rPr>
          <t xml:space="preserve">
cambio de turno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Alejandro O</author>
  </authors>
  <commentList>
    <comment ref="F12" authorId="0" shapeId="0" xr:uid="{EF01FD23-12F6-4A39-A401-167F852EB889}">
      <text>
        <r>
          <rPr>
            <b/>
            <sz val="9"/>
            <color indexed="81"/>
            <rFont val="Tahoma"/>
            <family val="2"/>
          </rPr>
          <t>Alejandro O:</t>
        </r>
        <r>
          <rPr>
            <sz val="9"/>
            <color indexed="81"/>
            <rFont val="Tahoma"/>
            <family val="2"/>
          </rPr>
          <t xml:space="preserve">
Apoyo roller</t>
        </r>
      </text>
    </comment>
    <comment ref="G12" authorId="0" shapeId="0" xr:uid="{1E6628F8-ABA9-468F-B0BF-38FB1E6839BA}">
      <text>
        <r>
          <rPr>
            <b/>
            <sz val="9"/>
            <color indexed="81"/>
            <rFont val="Tahoma"/>
            <family val="2"/>
          </rPr>
          <t>Alejandro O:</t>
        </r>
        <r>
          <rPr>
            <sz val="9"/>
            <color indexed="81"/>
            <rFont val="Tahoma"/>
            <family val="2"/>
          </rPr>
          <t xml:space="preserve">
Roller</t>
        </r>
      </text>
    </comment>
    <comment ref="Q16" authorId="0" shapeId="0" xr:uid="{D122B03C-A688-4B13-94F9-3BA64635CDE9}">
      <text>
        <r>
          <rPr>
            <b/>
            <sz val="9"/>
            <color indexed="81"/>
            <rFont val="Tahoma"/>
            <family val="2"/>
          </rPr>
          <t>Alejandro O:</t>
        </r>
        <r>
          <rPr>
            <sz val="9"/>
            <color indexed="81"/>
            <rFont val="Tahoma"/>
            <family val="2"/>
          </rPr>
          <t xml:space="preserve">
Cambio de tuno
-650pz</t>
        </r>
      </text>
    </comment>
    <comment ref="F43" authorId="0" shapeId="0" xr:uid="{0AF54895-357F-4B49-8394-146A0A6AF4D5}">
      <text>
        <r>
          <rPr>
            <b/>
            <sz val="9"/>
            <color indexed="81"/>
            <rFont val="Tahoma"/>
            <family val="2"/>
          </rPr>
          <t>Alejandro O:</t>
        </r>
        <r>
          <rPr>
            <sz val="9"/>
            <color indexed="81"/>
            <rFont val="Tahoma"/>
            <family val="2"/>
          </rPr>
          <t xml:space="preserve">
1200 pz en empaque</t>
        </r>
      </text>
    </comment>
    <comment ref="E44" authorId="0" shapeId="0" xr:uid="{9ECFB3B8-0A07-4327-A158-4AAF3136C2DC}">
      <text>
        <r>
          <rPr>
            <b/>
            <sz val="9"/>
            <color indexed="81"/>
            <rFont val="Tahoma"/>
            <family val="2"/>
          </rPr>
          <t>Alejandro O:</t>
        </r>
        <r>
          <rPr>
            <sz val="9"/>
            <color indexed="81"/>
            <rFont val="Tahoma"/>
            <family val="2"/>
          </rPr>
          <t xml:space="preserve">
100% en empaque</t>
        </r>
      </text>
    </comment>
    <comment ref="O44" authorId="0" shapeId="0" xr:uid="{D76FACDC-3832-48F0-8CA0-567FC1B686D9}">
      <text>
        <r>
          <rPr>
            <b/>
            <sz val="9"/>
            <color indexed="81"/>
            <rFont val="Tahoma"/>
            <family val="2"/>
          </rPr>
          <t>Alejandro O:</t>
        </r>
        <r>
          <rPr>
            <sz val="9"/>
            <color indexed="81"/>
            <rFont val="Tahoma"/>
            <family val="2"/>
          </rPr>
          <t xml:space="preserve">
+1 caja por empaque</t>
        </r>
      </text>
    </comment>
    <comment ref="AL46" authorId="0" shapeId="0" xr:uid="{9A527BFE-4F4F-4DEB-A77A-D2A75F3CCE92}">
      <text>
        <r>
          <rPr>
            <b/>
            <sz val="9"/>
            <color indexed="81"/>
            <rFont val="Tahoma"/>
            <family val="2"/>
          </rPr>
          <t>Alejandro O:</t>
        </r>
        <r>
          <rPr>
            <sz val="9"/>
            <color indexed="81"/>
            <rFont val="Tahoma"/>
            <family val="2"/>
          </rPr>
          <t xml:space="preserve">
720 piezas de mas en maquina</t>
        </r>
      </text>
    </comment>
  </commentList>
</comments>
</file>

<file path=xl/sharedStrings.xml><?xml version="1.0" encoding="utf-8"?>
<sst xmlns="http://schemas.openxmlformats.org/spreadsheetml/2006/main" count="913" uniqueCount="152">
  <si>
    <t xml:space="preserve">Acumulado Semanal </t>
  </si>
  <si>
    <t xml:space="preserve">Prod. Total  Mensual Realizada </t>
  </si>
  <si>
    <t>Productividad Mensual</t>
  </si>
  <si>
    <t>Producción por día</t>
  </si>
  <si>
    <t xml:space="preserve">Producción Meta </t>
  </si>
  <si>
    <t xml:space="preserve">Piezas Excedentes </t>
  </si>
  <si>
    <t xml:space="preserve">Calculo de Bono Mensual </t>
  </si>
  <si>
    <t>Piezas Faltantes para Bono</t>
  </si>
  <si>
    <t>Operador</t>
  </si>
  <si>
    <t>Promedio</t>
  </si>
  <si>
    <t>Porcentaje</t>
  </si>
  <si>
    <t>Turbo</t>
  </si>
  <si>
    <t>Piezas</t>
  </si>
  <si>
    <t>Tail</t>
  </si>
  <si>
    <t xml:space="preserve">Monto </t>
  </si>
  <si>
    <t>Bono 100%-110% ($0.10)</t>
  </si>
  <si>
    <t>Bono +110% ($0.12)</t>
  </si>
  <si>
    <t>Anticipo</t>
  </si>
  <si>
    <t>Restante a pagar</t>
  </si>
  <si>
    <t xml:space="preserve">Abraham Zuñiga Diana </t>
  </si>
  <si>
    <t>Arechar Barajas Maria del Socorro</t>
  </si>
  <si>
    <t>Avila Bocardo Maria de Lourdes</t>
  </si>
  <si>
    <t xml:space="preserve">Cervantes Luna Gloria </t>
  </si>
  <si>
    <t>Roller</t>
  </si>
  <si>
    <t>V</t>
  </si>
  <si>
    <t xml:space="preserve">Cosio Garcia Andrea </t>
  </si>
  <si>
    <t>Cosio Garcia Rossibel</t>
  </si>
  <si>
    <t>Cumplido Mendoza Gael</t>
  </si>
  <si>
    <t>Duran Murillo Sindia Belem</t>
  </si>
  <si>
    <t xml:space="preserve">Garcia  Zavala  Javier Alejandro   </t>
  </si>
  <si>
    <t>Garcia Becerra Leonardo</t>
  </si>
  <si>
    <t>F</t>
  </si>
  <si>
    <t>Gonzalez Figueroa Rosa Iris</t>
  </si>
  <si>
    <t>Hernandez Rodriguez Angel</t>
  </si>
  <si>
    <t>Jara Escobedo Rosalva</t>
  </si>
  <si>
    <t>Lopez Amaya Teresa</t>
  </si>
  <si>
    <t>López Martínez Alexis Sebastián</t>
  </si>
  <si>
    <t>López Mederos Nilda Clarivett</t>
  </si>
  <si>
    <t>Magallanes Álvarez Jocelyn Arlet</t>
  </si>
  <si>
    <t>Bending</t>
  </si>
  <si>
    <t>Martin Salazar Gabriela Alejandra</t>
  </si>
  <si>
    <t>Mendoza Perez Paulina Aylin</t>
  </si>
  <si>
    <t>Olivares Sigala Noemi Guadalupe</t>
  </si>
  <si>
    <t>Orozco Arriaga Claudia Paola</t>
  </si>
  <si>
    <t>Ponce Ricardo Amada Guadalupe</t>
  </si>
  <si>
    <t>Santoyo Zarco Honoria</t>
  </si>
  <si>
    <t>Empacador</t>
  </si>
  <si>
    <t>Abraham Zuñiga Maria Del Carmen</t>
  </si>
  <si>
    <t>Maquina</t>
  </si>
  <si>
    <t>Del Angel Reyes Marcela</t>
  </si>
  <si>
    <t>Juarez Godoy Aida Guadalupe</t>
  </si>
  <si>
    <t>Puebla Duarte Maria Guadalupe</t>
  </si>
  <si>
    <t>Ramirez Godinez Maria Guadalupe</t>
  </si>
  <si>
    <t>Saldierna Salazar Erika Yazmin</t>
  </si>
  <si>
    <t>Toledo Vara Alicia</t>
  </si>
  <si>
    <t>Torres Alvarez Sonia</t>
  </si>
  <si>
    <t xml:space="preserve">Operador Bending </t>
  </si>
  <si>
    <t>Dias</t>
  </si>
  <si>
    <t>Cajas</t>
  </si>
  <si>
    <t>Gomez Torres Desiderio</t>
  </si>
  <si>
    <t>No se ha establecido</t>
  </si>
  <si>
    <t xml:space="preserve">Operador Roller </t>
  </si>
  <si>
    <t>36mts</t>
  </si>
  <si>
    <t>48mts</t>
  </si>
  <si>
    <t>Cruz De Leon Maria Juana</t>
  </si>
  <si>
    <t>541spw48w15</t>
  </si>
  <si>
    <t>541spw36w</t>
  </si>
  <si>
    <t>541spb25b</t>
  </si>
  <si>
    <t>Semana 14</t>
  </si>
  <si>
    <t>Semana 15</t>
  </si>
  <si>
    <t>Semana 16</t>
  </si>
  <si>
    <t>Anguiano Robles Regina Elizabeth</t>
  </si>
  <si>
    <t>Ayon Curiel Guadalupe Regina</t>
  </si>
  <si>
    <t>Bañuelos Carranza Maria Elena</t>
  </si>
  <si>
    <t>Benito Garcia Ana</t>
  </si>
  <si>
    <t>Bocanegra Torres Maria Ofelia</t>
  </si>
  <si>
    <t>Cardenete Baltazar Miriam</t>
  </si>
  <si>
    <t>De Los Santos Rocha Vanessa Guadalupe</t>
  </si>
  <si>
    <t>Garcia Cervantes Andrea</t>
  </si>
  <si>
    <t>Gutierrez Lopez Maria Guadalupe</t>
  </si>
  <si>
    <t>PSG</t>
  </si>
  <si>
    <t>Hernandez Hernandez Tania</t>
  </si>
  <si>
    <t>Hernandez Puebla Laura Veronica</t>
  </si>
  <si>
    <t>Linares Jimenez Esperanza</t>
  </si>
  <si>
    <t>Lopez Rodriguez Maria De Los Angeles</t>
  </si>
  <si>
    <t>Morales Lopez Cristina</t>
  </si>
  <si>
    <t>Rodriguez Landeros Elena Alejandra</t>
  </si>
  <si>
    <t>Botello Flores Maria Del Carmen</t>
  </si>
  <si>
    <t>Castellanos Arciniega Lucina</t>
  </si>
  <si>
    <t>Lopez Santos Alondra Guadalupe</t>
  </si>
  <si>
    <t>Flores Cadenas Cristina</t>
  </si>
  <si>
    <t>Rodriguez Miramontes Alma Delia</t>
  </si>
  <si>
    <t>Rodriguez Miramontes Bertha Alicia</t>
  </si>
  <si>
    <t>Sandoval Venegas Yesenia</t>
  </si>
  <si>
    <t>Santes Vazquez Erika Juanita</t>
  </si>
  <si>
    <t>Torres Flores Sandy Janeth</t>
  </si>
  <si>
    <t>Martinez Medina Carlos Ariel</t>
  </si>
  <si>
    <t>Arellano Juarez Leticia</t>
  </si>
  <si>
    <t xml:space="preserve">Producción de Tail </t>
  </si>
  <si>
    <t xml:space="preserve">Turno 1 </t>
  </si>
  <si>
    <t xml:space="preserve">Empaque </t>
  </si>
  <si>
    <t>Turno 2</t>
  </si>
  <si>
    <t xml:space="preserve">Tail </t>
  </si>
  <si>
    <t>Producción turbo</t>
  </si>
  <si>
    <t>Turno 1</t>
  </si>
  <si>
    <t>Maquina 100%</t>
  </si>
  <si>
    <t>Maquina 110%</t>
  </si>
  <si>
    <t>Empaque 100%</t>
  </si>
  <si>
    <t>Empaque 110%</t>
  </si>
  <si>
    <t>Bending 100% Turno 1</t>
  </si>
  <si>
    <t xml:space="preserve">Producción de la maquina </t>
  </si>
  <si>
    <t>Piezas por día</t>
  </si>
  <si>
    <t xml:space="preserve">58 cajas por día con maquina y media </t>
  </si>
  <si>
    <t>38.4 cajas por maquina</t>
  </si>
  <si>
    <t xml:space="preserve">Piezas por semana </t>
  </si>
  <si>
    <t xml:space="preserve">77 cajas por día con 2 maquinas </t>
  </si>
  <si>
    <t xml:space="preserve">Piezas por mes </t>
  </si>
  <si>
    <t>Bending 100% Turno 2</t>
  </si>
  <si>
    <t xml:space="preserve">46 cajas por día con maquina y media </t>
  </si>
  <si>
    <t xml:space="preserve">31.2 cajas por maquina </t>
  </si>
  <si>
    <t>61 cajas por día con 2 maquinas</t>
  </si>
  <si>
    <t xml:space="preserve">El monto a pagar para el bono del 100% es de $1,650 pesos. En el caso del personal de maquina, piezas realizadas despues del 100% se pagan a (0.10) centavos, piezas realizadas despues del 110% se pagan a (0.12). En el caso del personal de empaque, piezas realizadas depues del 100% se pagan a (0.05) y piezas realizadas despues del 110% se pagan a (0.06). </t>
  </si>
  <si>
    <t xml:space="preserve">Se otorgara un anticipo de bono por la cantidad de $200 pesos al personal que cumpla con la producción meta de la semana. </t>
  </si>
  <si>
    <t xml:space="preserve">Vacaciones </t>
  </si>
  <si>
    <t xml:space="preserve">Falta </t>
  </si>
  <si>
    <t xml:space="preserve">Permiso sin goce </t>
  </si>
  <si>
    <t>TXT</t>
  </si>
  <si>
    <t xml:space="preserve">Tiempo por tiempo </t>
  </si>
  <si>
    <t>DF</t>
  </si>
  <si>
    <t>Empaque</t>
  </si>
  <si>
    <t>INC</t>
  </si>
  <si>
    <t>Garcia Gonzalez Marco Alejandro</t>
  </si>
  <si>
    <t>Hernandez Puebla Sandra Guadalupe</t>
  </si>
  <si>
    <t>n/a</t>
  </si>
  <si>
    <t>BAJA</t>
  </si>
  <si>
    <t xml:space="preserve">Martinez Medina Carlos Ariel </t>
  </si>
  <si>
    <t>Rodriguez Cardenas Salvador</t>
  </si>
  <si>
    <t>Huerta Puentes Alejandra</t>
  </si>
  <si>
    <t>Ledezma Escobedo Gloria Maria</t>
  </si>
  <si>
    <t>Magallanes Alvaraes Jocelyn Arlett</t>
  </si>
  <si>
    <t>bending</t>
  </si>
  <si>
    <t>Capacitacion</t>
  </si>
  <si>
    <t xml:space="preserve">Cervantes Sigala Rosa Susana </t>
  </si>
  <si>
    <t>Vaca Lara Maria Elena</t>
  </si>
  <si>
    <t>Semana 17</t>
  </si>
  <si>
    <t xml:space="preserve">Acosta Hernandez Maria Salome </t>
  </si>
  <si>
    <t>Huerta Reyes Fatima Jazmin</t>
  </si>
  <si>
    <t>Morales Rubio Edgar</t>
  </si>
  <si>
    <t xml:space="preserve">Navarro Sanchez Maria del Sol </t>
  </si>
  <si>
    <t>Ledezma Escobedo Gloriaa Maria</t>
  </si>
  <si>
    <t>maquina</t>
  </si>
  <si>
    <t>Emapaque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</si>
</sst>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0.0"/>
    <numFmt numFmtId="165" formatCode="0.0%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 vertical="center" wrapText="1"/>
    </xf>
    <xf numFmtId="0" fontId="4" fillId="0" borderId="0" xfId="0" applyFont="1"/>
    <xf numFmtId="14" fontId="0" fillId="3" borderId="0" xfId="0" applyNumberFormat="1" applyFill="1"/>
    <xf numFmtId="0" fontId="0" fillId="6" borderId="0" xfId="0" applyFill="1"/>
    <xf numFmtId="0" fontId="0" fillId="7" borderId="0" xfId="0" applyFill="1"/>
    <xf numFmtId="9" fontId="0" fillId="6" borderId="0" xfId="2" applyFont="1" applyFill="1"/>
    <xf numFmtId="9" fontId="0" fillId="2" borderId="0" xfId="2" applyFont="1" applyFill="1"/>
    <xf numFmtId="0" fontId="0" fillId="5" borderId="0" xfId="0" applyFill="1"/>
    <xf numFmtId="0" fontId="0" fillId="0" borderId="0" xfId="0" applyAlignment="1">
      <alignment horizontal="left"/>
    </xf>
    <xf numFmtId="3" fontId="0" fillId="0" borderId="0" xfId="0" applyNumberFormat="1"/>
    <xf numFmtId="164" fontId="0" fillId="0" borderId="0" xfId="0" applyNumberFormat="1"/>
    <xf numFmtId="9" fontId="0" fillId="0" borderId="0" xfId="2" applyFont="1" applyFill="1"/>
    <xf numFmtId="44" fontId="0" fillId="0" borderId="0" xfId="1" applyFont="1" applyFill="1"/>
    <xf numFmtId="3" fontId="0" fillId="0" borderId="0" xfId="2" applyNumberFormat="1" applyFont="1" applyFill="1"/>
    <xf numFmtId="1" fontId="0" fillId="0" borderId="0" xfId="0" applyNumberFormat="1"/>
    <xf numFmtId="9" fontId="0" fillId="0" borderId="0" xfId="2" applyFont="1"/>
    <xf numFmtId="44" fontId="0" fillId="0" borderId="0" xfId="1" applyFont="1"/>
    <xf numFmtId="3" fontId="5" fillId="9" borderId="0" xfId="0" applyNumberFormat="1" applyFont="1" applyFill="1" applyAlignment="1">
      <alignment vertical="center"/>
    </xf>
    <xf numFmtId="3" fontId="5" fillId="10" borderId="0" xfId="0" applyNumberFormat="1" applyFont="1" applyFill="1" applyAlignment="1">
      <alignment vertical="center"/>
    </xf>
    <xf numFmtId="3" fontId="5" fillId="0" borderId="0" xfId="0" applyNumberFormat="1" applyFont="1" applyAlignment="1">
      <alignment vertical="center"/>
    </xf>
    <xf numFmtId="0" fontId="0" fillId="11" borderId="0" xfId="0" applyFill="1" applyAlignment="1">
      <alignment horizontal="left"/>
    </xf>
    <xf numFmtId="165" fontId="0" fillId="0" borderId="0" xfId="0" applyNumberFormat="1"/>
    <xf numFmtId="14" fontId="0" fillId="0" borderId="0" xfId="0" applyNumberFormat="1"/>
    <xf numFmtId="0" fontId="0" fillId="12" borderId="0" xfId="0" applyFill="1"/>
    <xf numFmtId="14" fontId="0" fillId="4" borderId="0" xfId="0" applyNumberFormat="1" applyFill="1"/>
    <xf numFmtId="0" fontId="0" fillId="0" borderId="0" xfId="0" applyAlignment="1">
      <alignment vertical="center"/>
    </xf>
    <xf numFmtId="44" fontId="9" fillId="0" borderId="0" xfId="1" applyFont="1" applyFill="1"/>
    <xf numFmtId="0" fontId="0" fillId="0" borderId="0" xfId="2" applyNumberFormat="1" applyFont="1" applyFill="1"/>
    <xf numFmtId="0" fontId="9" fillId="0" borderId="0" xfId="0" applyFont="1"/>
    <xf numFmtId="0" fontId="3" fillId="0" borderId="0" xfId="0" applyFont="1"/>
    <xf numFmtId="3" fontId="10" fillId="0" borderId="0" xfId="0" applyNumberFormat="1" applyFont="1" applyAlignment="1">
      <alignment vertical="center"/>
    </xf>
    <xf numFmtId="17" fontId="0" fillId="9" borderId="0" xfId="0" applyNumberFormat="1" applyFill="1"/>
    <xf numFmtId="0" fontId="0" fillId="9" borderId="0" xfId="0" applyFill="1"/>
    <xf numFmtId="0" fontId="0" fillId="13" borderId="0" xfId="0" applyFill="1"/>
    <xf numFmtId="9" fontId="0" fillId="9" borderId="0" xfId="0" applyNumberFormat="1" applyFill="1"/>
    <xf numFmtId="0" fontId="0" fillId="10" borderId="0" xfId="0" applyFill="1"/>
    <xf numFmtId="9" fontId="0" fillId="10" borderId="0" xfId="0" applyNumberFormat="1" applyFill="1"/>
    <xf numFmtId="9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3" fontId="0" fillId="14" borderId="0" xfId="0" applyNumberFormat="1" applyFill="1"/>
    <xf numFmtId="0" fontId="0" fillId="15" borderId="0" xfId="0" applyFill="1"/>
    <xf numFmtId="3" fontId="5" fillId="15" borderId="0" xfId="0" applyNumberFormat="1" applyFont="1" applyFill="1" applyAlignment="1">
      <alignment vertical="center"/>
    </xf>
    <xf numFmtId="14" fontId="0" fillId="15" borderId="0" xfId="0" applyNumberFormat="1" applyFill="1"/>
    <xf numFmtId="3" fontId="3" fillId="0" borderId="0" xfId="0" applyNumberFormat="1" applyFont="1"/>
    <xf numFmtId="165" fontId="0" fillId="0" borderId="0" xfId="2" applyNumberFormat="1" applyFont="1" applyFill="1"/>
    <xf numFmtId="0" fontId="2" fillId="8" borderId="0" xfId="0" applyFont="1" applyFill="1" applyAlignment="1">
      <alignment horizontal="center" vertical="center" wrapText="1"/>
    </xf>
    <xf numFmtId="14" fontId="0" fillId="10" borderId="0" xfId="0" applyNumberFormat="1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0" fillId="12" borderId="0" xfId="0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0" borderId="0" xfId="0" applyAlignment="1">
      <alignment horizontal="center" vertical="center" wrapText="1"/>
    </xf>
  </cellXfs>
  <cellStyles count="3">
    <cellStyle name="Moneda" xfId="1" builtinId="4"/>
    <cellStyle name="Normal" xfId="0" builtinId="0"/>
    <cellStyle name="Porcentaje" xfId="2" builtinId="5"/>
  </cellStyles>
  <dxfs count="628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4.9989318521683403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4.9989318521683403E-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4.9989318521683403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4.9989318521683403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</dxf>
    <dxf>
      <fill>
        <patternFill>
          <bgColor theme="0" tint="-4.9989318521683403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4.9989318521683403E-2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theme="0" tint="-4.9989318521683403E-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190292</xdr:colOff>
      <xdr:row>1</xdr:row>
      <xdr:rowOff>20955</xdr:rowOff>
    </xdr:from>
    <xdr:to>
      <xdr:col>14</xdr:col>
      <xdr:colOff>7412</xdr:colOff>
      <xdr:row>12</xdr:row>
      <xdr:rowOff>152400</xdr:rowOff>
    </xdr:to>
    <xdr:pic>
      <xdr:nvPicPr>
        <xdr:cNvPr id="2" name="Imagen 12">
          <a:extLst>
            <a:ext uri="{FF2B5EF4-FFF2-40B4-BE49-F238E27FC236}">
              <a16:creationId xmlns:a16="http://schemas.microsoft.com/office/drawing/2014/main" id="{72C837DD-C41F-4161-97D3-A36A446A7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292" y="198120"/>
          <a:ext cx="4838700" cy="2125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1C20C-84BF-48A4-AF11-4BB525816A06}">
  <dimension ref="A1:AP72"/>
  <sheetViews>
    <sheetView topLeftCell="A19" workbookViewId="0">
      <pane xSplit="1" topLeftCell="AB1" activePane="topRight" state="frozen"/>
      <selection pane="topRight" activeCell="AR45" sqref="AR45"/>
    </sheetView>
  </sheetViews>
  <sheetFormatPr baseColWidth="10" defaultRowHeight="14.4" x14ac:dyDescent="0.3"/>
  <cols>
    <col min="1" max="1" width="35.77734375" bestFit="1" customWidth="1"/>
    <col min="2" max="2" width="12.109375" bestFit="1" customWidth="1"/>
    <col min="3" max="5" width="10.6640625" customWidth="1"/>
    <col min="6" max="6" width="10.77734375" customWidth="1"/>
    <col min="7" max="21" width="10.6640625" customWidth="1"/>
    <col min="22" max="40" width="11.44140625" customWidth="1"/>
    <col min="41" max="41" width="15.33203125" customWidth="1"/>
  </cols>
  <sheetData>
    <row r="1" spans="1:42" s="1" customFormat="1" ht="45" customHeight="1" x14ac:dyDescent="0.3">
      <c r="B1" s="48" t="s">
        <v>68</v>
      </c>
      <c r="C1" s="48"/>
      <c r="D1" s="48"/>
      <c r="E1" s="48"/>
      <c r="F1" s="48"/>
      <c r="G1" s="49" t="s">
        <v>69</v>
      </c>
      <c r="H1" s="49"/>
      <c r="I1" s="49"/>
      <c r="J1" s="49"/>
      <c r="K1" s="49"/>
      <c r="L1" s="48" t="s">
        <v>70</v>
      </c>
      <c r="M1" s="48"/>
      <c r="N1" s="48"/>
      <c r="O1" s="48"/>
      <c r="P1" s="48"/>
      <c r="Q1" s="49" t="s">
        <v>144</v>
      </c>
      <c r="R1" s="49"/>
      <c r="S1" s="49"/>
      <c r="T1" s="49"/>
      <c r="U1" s="49"/>
      <c r="V1" s="50" t="s">
        <v>0</v>
      </c>
      <c r="W1" s="50"/>
      <c r="X1" s="50"/>
      <c r="Y1" s="50"/>
      <c r="Z1" s="51" t="s">
        <v>1</v>
      </c>
      <c r="AA1" s="52" t="s">
        <v>2</v>
      </c>
      <c r="AB1" s="52"/>
      <c r="AC1" s="53" t="s">
        <v>3</v>
      </c>
      <c r="AD1" s="53"/>
      <c r="AE1" s="53"/>
      <c r="AF1" s="53"/>
      <c r="AG1" s="52" t="s">
        <v>4</v>
      </c>
      <c r="AH1" s="52"/>
      <c r="AI1" s="54" t="s">
        <v>5</v>
      </c>
      <c r="AJ1" s="54"/>
      <c r="AK1" s="55" t="s">
        <v>6</v>
      </c>
      <c r="AL1" s="55"/>
      <c r="AM1" s="55"/>
      <c r="AN1" s="55"/>
      <c r="AO1" s="55"/>
      <c r="AP1" s="47" t="s">
        <v>7</v>
      </c>
    </row>
    <row r="2" spans="1:42" ht="15.6" x14ac:dyDescent="0.3">
      <c r="A2" s="2" t="s">
        <v>8</v>
      </c>
      <c r="B2" s="3">
        <v>46115</v>
      </c>
      <c r="C2" s="3">
        <v>46118</v>
      </c>
      <c r="D2" s="3">
        <v>46119</v>
      </c>
      <c r="E2" s="3">
        <v>46120</v>
      </c>
      <c r="F2" s="3">
        <v>46121</v>
      </c>
      <c r="G2" s="25">
        <v>46122</v>
      </c>
      <c r="H2" s="25">
        <v>46125</v>
      </c>
      <c r="I2" s="25">
        <v>46126</v>
      </c>
      <c r="J2" s="25">
        <v>46127</v>
      </c>
      <c r="K2" s="25">
        <v>46128</v>
      </c>
      <c r="L2" s="3">
        <v>46129</v>
      </c>
      <c r="M2" s="3">
        <v>46132</v>
      </c>
      <c r="N2" s="3">
        <v>46133</v>
      </c>
      <c r="O2" s="3">
        <v>46134</v>
      </c>
      <c r="P2" s="3">
        <v>46135</v>
      </c>
      <c r="Q2" s="25">
        <v>46136</v>
      </c>
      <c r="R2" s="25">
        <v>46139</v>
      </c>
      <c r="S2" s="25">
        <v>46140</v>
      </c>
      <c r="T2" s="25">
        <v>46141</v>
      </c>
      <c r="U2" s="25">
        <v>46142</v>
      </c>
      <c r="V2" s="24" t="s">
        <v>68</v>
      </c>
      <c r="W2" s="24" t="s">
        <v>69</v>
      </c>
      <c r="X2" s="24" t="s">
        <v>70</v>
      </c>
      <c r="Y2" s="24" t="s">
        <v>144</v>
      </c>
      <c r="Z2" s="51"/>
      <c r="AA2" s="4" t="s">
        <v>9</v>
      </c>
      <c r="AB2" s="4" t="s">
        <v>10</v>
      </c>
      <c r="AC2" s="5" t="s">
        <v>11</v>
      </c>
      <c r="AD2" s="5" t="s">
        <v>12</v>
      </c>
      <c r="AE2" s="5" t="s">
        <v>13</v>
      </c>
      <c r="AF2" s="5" t="s">
        <v>12</v>
      </c>
      <c r="AG2" s="6">
        <v>1</v>
      </c>
      <c r="AH2" s="6">
        <v>1.1000000000000001</v>
      </c>
      <c r="AI2" s="7">
        <v>1</v>
      </c>
      <c r="AJ2" s="7">
        <v>1.1000000000000001</v>
      </c>
      <c r="AK2" s="8" t="s">
        <v>14</v>
      </c>
      <c r="AL2" s="8" t="s">
        <v>15</v>
      </c>
      <c r="AM2" s="8" t="s">
        <v>16</v>
      </c>
      <c r="AN2" s="8" t="s">
        <v>17</v>
      </c>
      <c r="AO2" s="8" t="s">
        <v>18</v>
      </c>
      <c r="AP2" s="47"/>
    </row>
    <row r="3" spans="1:42" x14ac:dyDescent="0.3">
      <c r="A3" s="9" t="s">
        <v>19</v>
      </c>
      <c r="B3" s="10" t="s">
        <v>128</v>
      </c>
      <c r="C3" s="10">
        <v>3978</v>
      </c>
      <c r="D3" s="10">
        <v>3960</v>
      </c>
      <c r="E3" s="41">
        <v>3000</v>
      </c>
      <c r="F3" s="41">
        <v>3000</v>
      </c>
      <c r="G3" s="41">
        <v>3000</v>
      </c>
      <c r="H3" s="10">
        <v>3780</v>
      </c>
      <c r="I3" s="10">
        <v>3770</v>
      </c>
      <c r="J3" s="10">
        <v>3770</v>
      </c>
      <c r="K3" s="10">
        <v>3770</v>
      </c>
      <c r="L3" s="10">
        <v>3770</v>
      </c>
      <c r="M3" s="10">
        <v>3770</v>
      </c>
      <c r="N3">
        <f>3770+360</f>
        <v>4130</v>
      </c>
      <c r="O3" s="10">
        <v>3770</v>
      </c>
      <c r="P3" s="10">
        <v>3770</v>
      </c>
      <c r="Q3" s="10">
        <v>3768</v>
      </c>
      <c r="R3" s="10">
        <v>3744</v>
      </c>
      <c r="S3" s="10">
        <v>3888</v>
      </c>
      <c r="T3" s="10">
        <v>3744</v>
      </c>
      <c r="U3" s="10">
        <v>3168</v>
      </c>
      <c r="V3" s="10">
        <f>SUM(B3:F3)</f>
        <v>13938</v>
      </c>
      <c r="W3" s="10">
        <f t="shared" ref="W3" si="0">SUM(G3:K3)</f>
        <v>18090</v>
      </c>
      <c r="X3" s="10">
        <f t="shared" ref="X3" si="1">SUM(L3:P3)</f>
        <v>19210</v>
      </c>
      <c r="Y3" s="10">
        <f>SUM(Q3:U3)</f>
        <v>18312</v>
      </c>
      <c r="Z3" s="10">
        <f>SUM(V3:Y3)</f>
        <v>69550</v>
      </c>
      <c r="AA3" s="11">
        <f>Z3/19</f>
        <v>3660.5263157894738</v>
      </c>
      <c r="AB3" s="12">
        <f>Z3/(AH3/110)/100</f>
        <v>1.0342007434944238</v>
      </c>
      <c r="AC3">
        <v>16</v>
      </c>
      <c r="AD3">
        <f t="shared" ref="AD3" si="2">3650*AC3</f>
        <v>58400</v>
      </c>
      <c r="AE3">
        <v>3</v>
      </c>
      <c r="AF3">
        <f t="shared" ref="AF3" si="3">2950*AE3</f>
        <v>8850</v>
      </c>
      <c r="AG3">
        <f t="shared" ref="AG3" si="4">AD3+AF3</f>
        <v>67250</v>
      </c>
      <c r="AH3">
        <f t="shared" ref="AH3" si="5">(AG3*0.1)+AG3</f>
        <v>73975</v>
      </c>
      <c r="AI3" s="28">
        <f>Z3-AG3</f>
        <v>2300</v>
      </c>
      <c r="AJ3" s="12"/>
      <c r="AK3" s="13">
        <v>1650</v>
      </c>
      <c r="AL3" s="13">
        <f t="shared" ref="AL3" si="6">AI3*0.1</f>
        <v>230</v>
      </c>
      <c r="AM3" s="13">
        <f t="shared" ref="AM3" si="7">AJ3*0.12</f>
        <v>0</v>
      </c>
      <c r="AN3" s="13">
        <v>0</v>
      </c>
      <c r="AO3" s="13">
        <f t="shared" ref="AO3" si="8">AK3+AL3+AM3-AN3</f>
        <v>1880</v>
      </c>
      <c r="AP3">
        <f t="shared" ref="AP3" si="9">Z3-AG3</f>
        <v>2300</v>
      </c>
    </row>
    <row r="4" spans="1:42" x14ac:dyDescent="0.3">
      <c r="A4" s="9" t="s">
        <v>145</v>
      </c>
      <c r="B4" s="10" t="s">
        <v>128</v>
      </c>
      <c r="C4" s="45" t="s">
        <v>133</v>
      </c>
      <c r="D4" s="45" t="s">
        <v>133</v>
      </c>
      <c r="E4" s="45" t="s">
        <v>133</v>
      </c>
      <c r="F4" s="45" t="s">
        <v>133</v>
      </c>
      <c r="G4" s="45" t="s">
        <v>133</v>
      </c>
      <c r="H4" s="45" t="s">
        <v>133</v>
      </c>
      <c r="I4" s="45" t="s">
        <v>133</v>
      </c>
      <c r="J4" s="45" t="s">
        <v>133</v>
      </c>
      <c r="K4" s="45" t="s">
        <v>133</v>
      </c>
      <c r="L4" s="45" t="s">
        <v>133</v>
      </c>
      <c r="M4" s="45" t="s">
        <v>133</v>
      </c>
      <c r="N4" s="45" t="s">
        <v>133</v>
      </c>
      <c r="O4" s="45" t="s">
        <v>133</v>
      </c>
      <c r="P4" s="45" t="s">
        <v>133</v>
      </c>
      <c r="Q4" s="10">
        <v>1944</v>
      </c>
      <c r="R4" s="10">
        <v>1888</v>
      </c>
      <c r="S4" s="10">
        <v>2170</v>
      </c>
      <c r="T4" s="10">
        <v>1800</v>
      </c>
      <c r="U4" s="10">
        <v>2030</v>
      </c>
      <c r="V4" s="10">
        <f t="shared" ref="V4:V30" si="10">SUM(B4:F4)</f>
        <v>0</v>
      </c>
      <c r="W4" s="10">
        <f t="shared" ref="W4:W30" si="11">SUM(G4:K4)</f>
        <v>0</v>
      </c>
      <c r="X4" s="10">
        <f t="shared" ref="X4:X30" si="12">SUM(L4:P4)</f>
        <v>0</v>
      </c>
      <c r="Y4" s="10">
        <f t="shared" ref="Y4:Y30" si="13">SUM(Q4:U4)</f>
        <v>9832</v>
      </c>
      <c r="Z4" s="10">
        <f t="shared" ref="Z4:Z30" si="14">SUM(V4:Y4)</f>
        <v>9832</v>
      </c>
      <c r="AA4" s="11">
        <f t="shared" ref="AA4:AA30" si="15">Z4/20</f>
        <v>491.6</v>
      </c>
      <c r="AB4" s="12">
        <f t="shared" ref="AB4:AB30" si="16">Z4/(AH4/110)/100</f>
        <v>0.14177361211247297</v>
      </c>
      <c r="AC4">
        <v>19</v>
      </c>
      <c r="AD4">
        <f t="shared" ref="AD4:AD30" si="17">3650*AC4</f>
        <v>69350</v>
      </c>
      <c r="AF4">
        <f t="shared" ref="AF4:AF30" si="18">2950*AE4</f>
        <v>0</v>
      </c>
      <c r="AG4">
        <f t="shared" ref="AG4:AG30" si="19">AD4+AF4</f>
        <v>69350</v>
      </c>
      <c r="AH4">
        <f t="shared" ref="AH4:AH30" si="20">(AG4*0.1)+AG4</f>
        <v>76285</v>
      </c>
      <c r="AI4" s="12"/>
      <c r="AJ4" s="12"/>
      <c r="AK4" s="13">
        <v>0</v>
      </c>
      <c r="AL4" s="13">
        <f t="shared" ref="AL4:AL30" si="21">AI4*0.1</f>
        <v>0</v>
      </c>
      <c r="AM4" s="13">
        <f t="shared" ref="AM4:AM30" si="22">AJ4*0.12</f>
        <v>0</v>
      </c>
      <c r="AN4" s="13">
        <v>0</v>
      </c>
      <c r="AO4" s="13">
        <f t="shared" ref="AO4:AO30" si="23">AK4+AL4+AM4-AN4</f>
        <v>0</v>
      </c>
      <c r="AP4">
        <f t="shared" ref="AP4:AP30" si="24">Z4-AG4</f>
        <v>-59518</v>
      </c>
    </row>
    <row r="5" spans="1:42" x14ac:dyDescent="0.3">
      <c r="A5" s="9" t="s">
        <v>20</v>
      </c>
      <c r="B5" s="10" t="s">
        <v>128</v>
      </c>
      <c r="C5" s="10" t="s">
        <v>31</v>
      </c>
      <c r="D5" s="23" t="s">
        <v>129</v>
      </c>
      <c r="E5" s="23" t="s">
        <v>129</v>
      </c>
      <c r="F5" s="23" t="s">
        <v>129</v>
      </c>
      <c r="G5" s="23" t="s">
        <v>129</v>
      </c>
      <c r="H5" s="10">
        <v>3720</v>
      </c>
      <c r="I5" s="10">
        <v>3720</v>
      </c>
      <c r="J5" s="10">
        <v>3720</v>
      </c>
      <c r="K5" s="10">
        <v>3720</v>
      </c>
      <c r="L5" s="10">
        <f>3720+620</f>
        <v>4340</v>
      </c>
      <c r="M5" s="10">
        <v>3720</v>
      </c>
      <c r="N5">
        <v>4340</v>
      </c>
      <c r="O5" s="10">
        <v>3720</v>
      </c>
      <c r="P5" s="10">
        <v>3720</v>
      </c>
      <c r="Q5" s="10">
        <v>310</v>
      </c>
      <c r="R5" s="10">
        <v>310</v>
      </c>
      <c r="S5" s="10">
        <v>310</v>
      </c>
      <c r="T5" s="10">
        <v>310</v>
      </c>
      <c r="U5" s="10" t="s">
        <v>129</v>
      </c>
      <c r="V5" s="10">
        <f t="shared" si="10"/>
        <v>0</v>
      </c>
      <c r="W5" s="10">
        <f t="shared" si="11"/>
        <v>14880</v>
      </c>
      <c r="X5" s="10">
        <f t="shared" si="12"/>
        <v>19840</v>
      </c>
      <c r="Y5" s="10">
        <f t="shared" si="13"/>
        <v>1240</v>
      </c>
      <c r="Z5" s="10">
        <f t="shared" si="14"/>
        <v>35960</v>
      </c>
      <c r="AA5" s="11">
        <f t="shared" si="15"/>
        <v>1798</v>
      </c>
      <c r="AB5" s="12">
        <f t="shared" si="16"/>
        <v>0.51852919971160782</v>
      </c>
      <c r="AC5">
        <v>19</v>
      </c>
      <c r="AD5">
        <f t="shared" si="17"/>
        <v>69350</v>
      </c>
      <c r="AF5">
        <f t="shared" si="18"/>
        <v>0</v>
      </c>
      <c r="AG5">
        <f t="shared" si="19"/>
        <v>69350</v>
      </c>
      <c r="AH5">
        <f t="shared" si="20"/>
        <v>76285</v>
      </c>
      <c r="AI5" s="14"/>
      <c r="AJ5" s="12"/>
      <c r="AK5" s="13">
        <v>0</v>
      </c>
      <c r="AL5" s="13">
        <f t="shared" si="21"/>
        <v>0</v>
      </c>
      <c r="AM5" s="13">
        <f t="shared" si="22"/>
        <v>0</v>
      </c>
      <c r="AN5" s="13">
        <v>0</v>
      </c>
      <c r="AO5" s="13">
        <f t="shared" si="23"/>
        <v>0</v>
      </c>
      <c r="AP5">
        <f t="shared" si="24"/>
        <v>-33390</v>
      </c>
    </row>
    <row r="6" spans="1:42" x14ac:dyDescent="0.3">
      <c r="A6" s="9" t="s">
        <v>21</v>
      </c>
      <c r="B6" s="10" t="s">
        <v>128</v>
      </c>
      <c r="C6" s="10">
        <v>3330</v>
      </c>
      <c r="D6" s="10">
        <v>3150</v>
      </c>
      <c r="E6" s="10">
        <f>2760+300</f>
        <v>3060</v>
      </c>
      <c r="F6" s="10">
        <v>1830</v>
      </c>
      <c r="G6" s="10">
        <f>2580+300</f>
        <v>2880</v>
      </c>
      <c r="H6" s="10">
        <v>3120</v>
      </c>
      <c r="I6" s="10">
        <v>3510</v>
      </c>
      <c r="J6" s="10">
        <v>3510</v>
      </c>
      <c r="K6" s="10">
        <v>3510</v>
      </c>
      <c r="L6" s="10">
        <v>3820</v>
      </c>
      <c r="M6" s="10">
        <v>3480</v>
      </c>
      <c r="N6">
        <v>3480</v>
      </c>
      <c r="O6" s="10">
        <v>3770</v>
      </c>
      <c r="P6" s="10">
        <v>3770</v>
      </c>
      <c r="Q6" s="10">
        <v>2896</v>
      </c>
      <c r="R6" s="10">
        <v>2880</v>
      </c>
      <c r="S6" s="10">
        <v>2304</v>
      </c>
      <c r="T6" s="10">
        <v>3168</v>
      </c>
      <c r="U6" s="10">
        <v>2880</v>
      </c>
      <c r="V6" s="10">
        <f t="shared" si="10"/>
        <v>11370</v>
      </c>
      <c r="W6" s="10">
        <f t="shared" si="11"/>
        <v>16530</v>
      </c>
      <c r="X6" s="10">
        <f t="shared" si="12"/>
        <v>18320</v>
      </c>
      <c r="Y6" s="10">
        <f t="shared" si="13"/>
        <v>14128</v>
      </c>
      <c r="Z6" s="10">
        <f t="shared" si="14"/>
        <v>60348</v>
      </c>
      <c r="AA6" s="11">
        <f t="shared" si="15"/>
        <v>3017.4</v>
      </c>
      <c r="AB6" s="12">
        <f t="shared" si="16"/>
        <v>0.87019466474405194</v>
      </c>
      <c r="AC6">
        <v>19</v>
      </c>
      <c r="AD6">
        <f t="shared" si="17"/>
        <v>69350</v>
      </c>
      <c r="AF6">
        <f t="shared" si="18"/>
        <v>0</v>
      </c>
      <c r="AG6">
        <f t="shared" si="19"/>
        <v>69350</v>
      </c>
      <c r="AH6">
        <f t="shared" si="20"/>
        <v>76285</v>
      </c>
      <c r="AI6" s="14"/>
      <c r="AJ6" s="12"/>
      <c r="AK6" s="13">
        <v>0</v>
      </c>
      <c r="AL6" s="13">
        <f t="shared" si="21"/>
        <v>0</v>
      </c>
      <c r="AM6" s="13">
        <f t="shared" si="22"/>
        <v>0</v>
      </c>
      <c r="AN6" s="13">
        <v>0</v>
      </c>
      <c r="AO6" s="13">
        <f t="shared" si="23"/>
        <v>0</v>
      </c>
      <c r="AP6">
        <f t="shared" si="24"/>
        <v>-9002</v>
      </c>
    </row>
    <row r="7" spans="1:42" x14ac:dyDescent="0.3">
      <c r="A7" s="9" t="s">
        <v>22</v>
      </c>
      <c r="B7" s="10" t="s">
        <v>128</v>
      </c>
      <c r="C7" s="10" t="s">
        <v>24</v>
      </c>
      <c r="D7" s="10">
        <v>3420</v>
      </c>
      <c r="E7" s="41">
        <v>3000</v>
      </c>
      <c r="F7" s="41">
        <v>3000</v>
      </c>
      <c r="G7" s="41">
        <v>2790</v>
      </c>
      <c r="H7" s="10" t="s">
        <v>31</v>
      </c>
      <c r="I7" s="10">
        <v>3120</v>
      </c>
      <c r="J7" s="10">
        <v>3120</v>
      </c>
      <c r="K7" s="10">
        <v>3120</v>
      </c>
      <c r="L7" s="10">
        <v>3120</v>
      </c>
      <c r="M7" s="10">
        <v>3260</v>
      </c>
      <c r="N7">
        <v>3452</v>
      </c>
      <c r="O7" s="10">
        <v>2916</v>
      </c>
      <c r="P7" s="10">
        <v>2698</v>
      </c>
      <c r="Q7" s="10">
        <v>3100</v>
      </c>
      <c r="R7" s="10">
        <v>3100</v>
      </c>
      <c r="S7" s="10">
        <v>3100</v>
      </c>
      <c r="T7" s="10">
        <v>3270</v>
      </c>
      <c r="U7" s="10">
        <v>2710</v>
      </c>
      <c r="V7" s="10">
        <f t="shared" si="10"/>
        <v>9420</v>
      </c>
      <c r="W7" s="10">
        <f t="shared" si="11"/>
        <v>12150</v>
      </c>
      <c r="X7" s="10">
        <f t="shared" si="12"/>
        <v>15446</v>
      </c>
      <c r="Y7" s="10">
        <f t="shared" si="13"/>
        <v>15280</v>
      </c>
      <c r="Z7" s="10">
        <f t="shared" si="14"/>
        <v>52296</v>
      </c>
      <c r="AA7" s="11">
        <f>Z7/18</f>
        <v>2905.3333333333335</v>
      </c>
      <c r="AB7" s="12">
        <f t="shared" si="16"/>
        <v>0.82226415094339633</v>
      </c>
      <c r="AC7">
        <v>15</v>
      </c>
      <c r="AD7">
        <f t="shared" si="17"/>
        <v>54750</v>
      </c>
      <c r="AE7">
        <v>3</v>
      </c>
      <c r="AF7">
        <f t="shared" si="18"/>
        <v>8850</v>
      </c>
      <c r="AG7">
        <f t="shared" si="19"/>
        <v>63600</v>
      </c>
      <c r="AH7">
        <f t="shared" si="20"/>
        <v>69960</v>
      </c>
      <c r="AI7" s="12"/>
      <c r="AJ7" s="12"/>
      <c r="AK7" s="13">
        <v>0</v>
      </c>
      <c r="AL7" s="13">
        <f t="shared" si="21"/>
        <v>0</v>
      </c>
      <c r="AM7" s="13">
        <f t="shared" si="22"/>
        <v>0</v>
      </c>
      <c r="AN7" s="13">
        <v>0</v>
      </c>
      <c r="AO7" s="13">
        <f t="shared" si="23"/>
        <v>0</v>
      </c>
      <c r="AP7">
        <f t="shared" si="24"/>
        <v>-11304</v>
      </c>
    </row>
    <row r="8" spans="1:42" x14ac:dyDescent="0.3">
      <c r="A8" s="9" t="s">
        <v>142</v>
      </c>
      <c r="B8" s="10" t="s">
        <v>128</v>
      </c>
      <c r="C8" s="10" t="s">
        <v>133</v>
      </c>
      <c r="D8" s="10" t="s">
        <v>133</v>
      </c>
      <c r="E8" s="10" t="s">
        <v>133</v>
      </c>
      <c r="F8" s="10" t="s">
        <v>133</v>
      </c>
      <c r="G8" s="10" t="s">
        <v>133</v>
      </c>
      <c r="H8" s="10" t="s">
        <v>133</v>
      </c>
      <c r="I8" s="10" t="s">
        <v>133</v>
      </c>
      <c r="J8" s="10" t="s">
        <v>133</v>
      </c>
      <c r="K8" s="10" t="s">
        <v>133</v>
      </c>
      <c r="L8" s="10" t="s">
        <v>133</v>
      </c>
      <c r="M8" s="10">
        <v>2480</v>
      </c>
      <c r="N8">
        <v>1874</v>
      </c>
      <c r="O8" s="10">
        <v>2592</v>
      </c>
      <c r="P8" s="10">
        <v>2754</v>
      </c>
      <c r="Q8" s="10">
        <v>2325</v>
      </c>
      <c r="R8" s="10">
        <v>2198</v>
      </c>
      <c r="S8" s="10">
        <v>1134</v>
      </c>
      <c r="T8" s="10">
        <v>972</v>
      </c>
      <c r="U8" s="10">
        <v>1458</v>
      </c>
      <c r="V8" s="10">
        <f t="shared" si="10"/>
        <v>0</v>
      </c>
      <c r="W8" s="10">
        <f t="shared" si="11"/>
        <v>0</v>
      </c>
      <c r="X8" s="10">
        <f t="shared" si="12"/>
        <v>9700</v>
      </c>
      <c r="Y8" s="10">
        <f t="shared" si="13"/>
        <v>8087</v>
      </c>
      <c r="Z8" s="10">
        <f t="shared" si="14"/>
        <v>17787</v>
      </c>
      <c r="AA8" s="11">
        <f t="shared" si="15"/>
        <v>889.35</v>
      </c>
      <c r="AB8" s="12">
        <f t="shared" si="16"/>
        <v>0.2564816149963951</v>
      </c>
      <c r="AC8">
        <v>19</v>
      </c>
      <c r="AD8">
        <f t="shared" si="17"/>
        <v>69350</v>
      </c>
      <c r="AF8">
        <f t="shared" si="18"/>
        <v>0</v>
      </c>
      <c r="AG8">
        <f t="shared" si="19"/>
        <v>69350</v>
      </c>
      <c r="AH8">
        <f t="shared" si="20"/>
        <v>76285</v>
      </c>
      <c r="AI8" s="12"/>
      <c r="AJ8" s="12"/>
      <c r="AK8" s="13">
        <v>0</v>
      </c>
      <c r="AL8" s="13">
        <f t="shared" si="21"/>
        <v>0</v>
      </c>
      <c r="AM8" s="13">
        <f t="shared" si="22"/>
        <v>0</v>
      </c>
      <c r="AN8" s="13">
        <v>0</v>
      </c>
      <c r="AO8" s="13">
        <f t="shared" si="23"/>
        <v>0</v>
      </c>
      <c r="AP8">
        <f t="shared" si="24"/>
        <v>-51563</v>
      </c>
    </row>
    <row r="9" spans="1:42" x14ac:dyDescent="0.3">
      <c r="A9" s="9" t="s">
        <v>25</v>
      </c>
      <c r="B9" s="10" t="s">
        <v>128</v>
      </c>
      <c r="C9" s="10">
        <v>3780</v>
      </c>
      <c r="D9" s="10">
        <v>3780</v>
      </c>
      <c r="E9" s="41">
        <v>3000</v>
      </c>
      <c r="F9" s="41">
        <v>3000</v>
      </c>
      <c r="G9" s="41">
        <v>2790</v>
      </c>
      <c r="H9" s="10">
        <v>3705</v>
      </c>
      <c r="I9" s="10">
        <v>3705</v>
      </c>
      <c r="J9" s="10">
        <v>3705</v>
      </c>
      <c r="K9" s="10">
        <v>3705</v>
      </c>
      <c r="L9" s="10">
        <v>3705</v>
      </c>
      <c r="M9" s="10">
        <v>3650</v>
      </c>
      <c r="N9">
        <v>3142</v>
      </c>
      <c r="O9" s="10">
        <v>3402</v>
      </c>
      <c r="P9" s="10">
        <v>2888</v>
      </c>
      <c r="Q9" s="10">
        <v>3875</v>
      </c>
      <c r="R9" s="10">
        <v>3720</v>
      </c>
      <c r="S9" s="10">
        <f>930+3720</f>
        <v>4650</v>
      </c>
      <c r="T9" s="10">
        <v>4013</v>
      </c>
      <c r="U9" s="10">
        <v>3480</v>
      </c>
      <c r="V9" s="10">
        <f t="shared" si="10"/>
        <v>13560</v>
      </c>
      <c r="W9" s="10">
        <f t="shared" si="11"/>
        <v>17610</v>
      </c>
      <c r="X9" s="10">
        <f t="shared" si="12"/>
        <v>16787</v>
      </c>
      <c r="Y9" s="10">
        <f t="shared" si="13"/>
        <v>19738</v>
      </c>
      <c r="Z9" s="10">
        <f t="shared" si="14"/>
        <v>67695</v>
      </c>
      <c r="AA9" s="11">
        <f>Z9/19</f>
        <v>3562.8947368421054</v>
      </c>
      <c r="AB9" s="12">
        <f t="shared" si="16"/>
        <v>1.0066171003717472</v>
      </c>
      <c r="AC9">
        <v>16</v>
      </c>
      <c r="AD9">
        <f t="shared" si="17"/>
        <v>58400</v>
      </c>
      <c r="AE9">
        <v>3</v>
      </c>
      <c r="AF9">
        <f t="shared" si="18"/>
        <v>8850</v>
      </c>
      <c r="AG9">
        <f t="shared" si="19"/>
        <v>67250</v>
      </c>
      <c r="AH9">
        <f t="shared" si="20"/>
        <v>73975</v>
      </c>
      <c r="AI9" s="28">
        <f>Z9-AG9</f>
        <v>445</v>
      </c>
      <c r="AK9" s="13">
        <v>1650</v>
      </c>
      <c r="AL9" s="13">
        <f t="shared" si="21"/>
        <v>44.5</v>
      </c>
      <c r="AM9" s="13">
        <f t="shared" si="22"/>
        <v>0</v>
      </c>
      <c r="AN9" s="13">
        <v>0</v>
      </c>
      <c r="AO9" s="13">
        <f t="shared" si="23"/>
        <v>1694.5</v>
      </c>
      <c r="AP9">
        <f t="shared" si="24"/>
        <v>445</v>
      </c>
    </row>
    <row r="10" spans="1:42" x14ac:dyDescent="0.3">
      <c r="A10" s="9" t="s">
        <v>26</v>
      </c>
      <c r="B10" s="10" t="s">
        <v>128</v>
      </c>
      <c r="C10" s="10">
        <v>3630</v>
      </c>
      <c r="D10" s="10">
        <v>4050</v>
      </c>
      <c r="E10" s="41">
        <v>3300</v>
      </c>
      <c r="F10" s="41">
        <v>3000</v>
      </c>
      <c r="G10" s="41">
        <v>3300</v>
      </c>
      <c r="H10" s="10">
        <v>4320</v>
      </c>
      <c r="I10" s="10">
        <v>4350</v>
      </c>
      <c r="J10" s="10">
        <v>4060</v>
      </c>
      <c r="K10" s="10">
        <v>4350</v>
      </c>
      <c r="L10" s="10">
        <v>4350</v>
      </c>
      <c r="M10" s="10" t="s">
        <v>24</v>
      </c>
      <c r="N10">
        <v>4350</v>
      </c>
      <c r="O10" s="10">
        <v>4350</v>
      </c>
      <c r="P10" s="10">
        <v>4350</v>
      </c>
      <c r="Q10" s="10">
        <v>3770</v>
      </c>
      <c r="R10" s="10">
        <v>4320</v>
      </c>
      <c r="S10" s="10">
        <v>4032</v>
      </c>
      <c r="T10" s="10">
        <v>4032</v>
      </c>
      <c r="U10" s="10">
        <v>3744</v>
      </c>
      <c r="V10" s="10">
        <f t="shared" si="10"/>
        <v>13980</v>
      </c>
      <c r="W10" s="10">
        <f t="shared" si="11"/>
        <v>20380</v>
      </c>
      <c r="X10" s="10">
        <f t="shared" si="12"/>
        <v>17400</v>
      </c>
      <c r="Y10" s="10">
        <f t="shared" si="13"/>
        <v>19898</v>
      </c>
      <c r="Z10" s="10">
        <f t="shared" si="14"/>
        <v>71658</v>
      </c>
      <c r="AA10" s="11">
        <f t="shared" si="15"/>
        <v>3582.9</v>
      </c>
      <c r="AB10" s="12">
        <f t="shared" si="16"/>
        <v>1.1266981132075471</v>
      </c>
      <c r="AC10">
        <v>15</v>
      </c>
      <c r="AD10">
        <f t="shared" si="17"/>
        <v>54750</v>
      </c>
      <c r="AE10">
        <v>3</v>
      </c>
      <c r="AF10">
        <f t="shared" si="18"/>
        <v>8850</v>
      </c>
      <c r="AG10">
        <f t="shared" si="19"/>
        <v>63600</v>
      </c>
      <c r="AH10">
        <f t="shared" si="20"/>
        <v>69960</v>
      </c>
      <c r="AI10" s="15">
        <f>AH10-AG10</f>
        <v>6360</v>
      </c>
      <c r="AJ10" s="15">
        <f>Z10-AH10</f>
        <v>1698</v>
      </c>
      <c r="AK10" s="13">
        <v>1650</v>
      </c>
      <c r="AL10" s="13">
        <f t="shared" si="21"/>
        <v>636</v>
      </c>
      <c r="AM10" s="13">
        <f t="shared" si="22"/>
        <v>203.76</v>
      </c>
      <c r="AN10" s="13">
        <v>0</v>
      </c>
      <c r="AO10" s="13">
        <f t="shared" si="23"/>
        <v>2489.7600000000002</v>
      </c>
      <c r="AP10">
        <f t="shared" si="24"/>
        <v>8058</v>
      </c>
    </row>
    <row r="11" spans="1:42" x14ac:dyDescent="0.3">
      <c r="A11" s="9" t="s">
        <v>28</v>
      </c>
      <c r="B11" s="10" t="s">
        <v>128</v>
      </c>
      <c r="C11" s="10">
        <v>3420</v>
      </c>
      <c r="D11" s="10">
        <v>3780</v>
      </c>
      <c r="E11" s="41">
        <v>3000</v>
      </c>
      <c r="F11" s="41">
        <v>2700</v>
      </c>
      <c r="G11" s="41">
        <v>3000</v>
      </c>
      <c r="H11" s="10">
        <v>3720</v>
      </c>
      <c r="I11" s="10">
        <v>3720</v>
      </c>
      <c r="J11" t="s">
        <v>130</v>
      </c>
      <c r="K11" t="s">
        <v>130</v>
      </c>
      <c r="L11" t="s">
        <v>130</v>
      </c>
      <c r="M11" t="s">
        <v>130</v>
      </c>
      <c r="N11" t="s">
        <v>130</v>
      </c>
      <c r="O11" t="s">
        <v>130</v>
      </c>
      <c r="P11" t="s">
        <v>130</v>
      </c>
      <c r="Q11" t="s">
        <v>130</v>
      </c>
      <c r="R11" s="10">
        <v>3410</v>
      </c>
      <c r="S11" s="10">
        <v>3720</v>
      </c>
      <c r="T11" s="10">
        <v>3435</v>
      </c>
      <c r="U11" s="10">
        <v>3350</v>
      </c>
      <c r="V11" s="10">
        <f t="shared" si="10"/>
        <v>12900</v>
      </c>
      <c r="W11" s="10">
        <f t="shared" si="11"/>
        <v>10440</v>
      </c>
      <c r="X11" s="10">
        <f t="shared" si="12"/>
        <v>0</v>
      </c>
      <c r="Y11" s="10">
        <f t="shared" si="13"/>
        <v>13915</v>
      </c>
      <c r="Z11" s="10">
        <f t="shared" si="14"/>
        <v>37255</v>
      </c>
      <c r="AA11" s="11">
        <f t="shared" si="15"/>
        <v>1862.75</v>
      </c>
      <c r="AB11" s="12">
        <f t="shared" si="16"/>
        <v>0.55397769516728623</v>
      </c>
      <c r="AC11">
        <v>16</v>
      </c>
      <c r="AD11">
        <f t="shared" si="17"/>
        <v>58400</v>
      </c>
      <c r="AE11">
        <v>3</v>
      </c>
      <c r="AF11">
        <f t="shared" si="18"/>
        <v>8850</v>
      </c>
      <c r="AG11">
        <f t="shared" si="19"/>
        <v>67250</v>
      </c>
      <c r="AH11">
        <f t="shared" si="20"/>
        <v>73975</v>
      </c>
      <c r="AI11" s="15"/>
      <c r="AK11" s="13">
        <v>0</v>
      </c>
      <c r="AL11" s="13">
        <f t="shared" si="21"/>
        <v>0</v>
      </c>
      <c r="AM11" s="13">
        <f t="shared" si="22"/>
        <v>0</v>
      </c>
      <c r="AN11" s="13">
        <v>0</v>
      </c>
      <c r="AO11" s="13">
        <f t="shared" si="23"/>
        <v>0</v>
      </c>
      <c r="AP11">
        <f t="shared" si="24"/>
        <v>-29995</v>
      </c>
    </row>
    <row r="12" spans="1:42" x14ac:dyDescent="0.3">
      <c r="A12" s="9" t="s">
        <v>29</v>
      </c>
      <c r="B12" s="10" t="s">
        <v>128</v>
      </c>
      <c r="C12" s="10">
        <v>3780</v>
      </c>
      <c r="D12" s="10">
        <v>3780</v>
      </c>
      <c r="E12" s="41">
        <v>3000</v>
      </c>
      <c r="F12" s="41">
        <v>3000</v>
      </c>
      <c r="G12" s="41">
        <v>3000</v>
      </c>
      <c r="H12" s="10">
        <v>3705</v>
      </c>
      <c r="I12" s="10">
        <v>3705</v>
      </c>
      <c r="J12" s="10">
        <v>3705</v>
      </c>
      <c r="K12" s="10">
        <v>3705</v>
      </c>
      <c r="L12" s="10">
        <v>3705</v>
      </c>
      <c r="M12" s="10" t="s">
        <v>24</v>
      </c>
      <c r="N12">
        <v>3776</v>
      </c>
      <c r="O12" s="10">
        <v>3726</v>
      </c>
      <c r="P12" s="10">
        <v>3726</v>
      </c>
      <c r="Q12" s="10">
        <v>3780</v>
      </c>
      <c r="R12" s="10">
        <v>3744</v>
      </c>
      <c r="S12" s="10">
        <v>3698</v>
      </c>
      <c r="T12" s="10">
        <v>3848</v>
      </c>
      <c r="U12" s="10">
        <v>3768</v>
      </c>
      <c r="V12" s="10">
        <f t="shared" si="10"/>
        <v>13560</v>
      </c>
      <c r="W12" s="10">
        <f t="shared" si="11"/>
        <v>17820</v>
      </c>
      <c r="X12" s="10">
        <f t="shared" si="12"/>
        <v>14933</v>
      </c>
      <c r="Y12" s="10">
        <f t="shared" si="13"/>
        <v>18838</v>
      </c>
      <c r="Z12" s="10">
        <f t="shared" si="14"/>
        <v>65151</v>
      </c>
      <c r="AA12" s="11">
        <f t="shared" si="15"/>
        <v>3257.55</v>
      </c>
      <c r="AB12" s="12">
        <f t="shared" si="16"/>
        <v>1.02438679245283</v>
      </c>
      <c r="AC12">
        <v>15</v>
      </c>
      <c r="AD12">
        <f t="shared" si="17"/>
        <v>54750</v>
      </c>
      <c r="AE12">
        <v>3</v>
      </c>
      <c r="AF12">
        <f t="shared" si="18"/>
        <v>8850</v>
      </c>
      <c r="AG12">
        <f t="shared" si="19"/>
        <v>63600</v>
      </c>
      <c r="AH12">
        <f t="shared" si="20"/>
        <v>69960</v>
      </c>
      <c r="AI12" s="28">
        <f>Z12-AG12</f>
        <v>1551</v>
      </c>
      <c r="AK12" s="13">
        <v>1650</v>
      </c>
      <c r="AL12" s="13">
        <f t="shared" si="21"/>
        <v>155.10000000000002</v>
      </c>
      <c r="AM12" s="13">
        <f t="shared" si="22"/>
        <v>0</v>
      </c>
      <c r="AN12" s="13">
        <v>0</v>
      </c>
      <c r="AO12" s="13">
        <f t="shared" si="23"/>
        <v>1805.1</v>
      </c>
      <c r="AP12">
        <f t="shared" si="24"/>
        <v>1551</v>
      </c>
    </row>
    <row r="13" spans="1:42" x14ac:dyDescent="0.3">
      <c r="A13" s="9" t="s">
        <v>30</v>
      </c>
      <c r="B13" s="10" t="s">
        <v>128</v>
      </c>
      <c r="C13" s="10">
        <v>5700</v>
      </c>
      <c r="D13" s="10">
        <v>4800</v>
      </c>
      <c r="E13" s="41">
        <v>6000</v>
      </c>
      <c r="F13" s="10" t="s">
        <v>31</v>
      </c>
      <c r="G13" s="41">
        <v>5400</v>
      </c>
      <c r="H13" s="10">
        <v>5040</v>
      </c>
      <c r="I13" s="10">
        <v>2030</v>
      </c>
      <c r="J13" s="10">
        <v>1550</v>
      </c>
      <c r="K13" s="10">
        <v>5400</v>
      </c>
      <c r="L13" s="10" t="s">
        <v>31</v>
      </c>
      <c r="M13" s="10">
        <v>5400</v>
      </c>
      <c r="N13">
        <v>6120</v>
      </c>
      <c r="O13" s="10">
        <v>6120</v>
      </c>
      <c r="P13" s="10">
        <v>5760</v>
      </c>
      <c r="Q13" s="10">
        <v>6480</v>
      </c>
      <c r="R13" s="10">
        <v>5760</v>
      </c>
      <c r="S13" s="10">
        <v>6480</v>
      </c>
      <c r="T13" s="10">
        <v>6480</v>
      </c>
      <c r="U13" s="10" t="s">
        <v>31</v>
      </c>
      <c r="V13" s="10">
        <f t="shared" si="10"/>
        <v>16500</v>
      </c>
      <c r="W13" s="10">
        <f t="shared" si="11"/>
        <v>19420</v>
      </c>
      <c r="X13" s="10">
        <f t="shared" si="12"/>
        <v>23400</v>
      </c>
      <c r="Y13" s="10">
        <f t="shared" si="13"/>
        <v>25200</v>
      </c>
      <c r="Z13" s="10">
        <f t="shared" si="14"/>
        <v>84520</v>
      </c>
      <c r="AA13" s="11">
        <f t="shared" si="15"/>
        <v>4226</v>
      </c>
      <c r="AB13" s="12">
        <f t="shared" si="16"/>
        <v>0.69506578947368425</v>
      </c>
      <c r="AC13">
        <v>19</v>
      </c>
      <c r="AD13">
        <f>6400*AC13</f>
        <v>121600</v>
      </c>
      <c r="AF13">
        <f t="shared" si="18"/>
        <v>0</v>
      </c>
      <c r="AG13">
        <f t="shared" si="19"/>
        <v>121600</v>
      </c>
      <c r="AH13">
        <f t="shared" si="20"/>
        <v>133760</v>
      </c>
      <c r="AI13" s="15"/>
      <c r="AK13" s="13">
        <v>0</v>
      </c>
      <c r="AL13" s="13">
        <f t="shared" si="21"/>
        <v>0</v>
      </c>
      <c r="AM13" s="13">
        <f t="shared" si="22"/>
        <v>0</v>
      </c>
      <c r="AN13" s="13">
        <v>0</v>
      </c>
      <c r="AO13" s="13">
        <f t="shared" si="23"/>
        <v>0</v>
      </c>
      <c r="AP13">
        <f t="shared" si="24"/>
        <v>-37080</v>
      </c>
    </row>
    <row r="14" spans="1:42" x14ac:dyDescent="0.3">
      <c r="A14" s="9" t="s">
        <v>131</v>
      </c>
      <c r="B14" s="10" t="s">
        <v>128</v>
      </c>
      <c r="C14" s="10">
        <v>360</v>
      </c>
      <c r="D14" s="10">
        <v>2100</v>
      </c>
      <c r="E14" s="10">
        <v>1860</v>
      </c>
      <c r="F14" s="10">
        <v>610</v>
      </c>
      <c r="G14" s="10" t="s">
        <v>23</v>
      </c>
      <c r="H14" s="10" t="s">
        <v>23</v>
      </c>
      <c r="I14" s="10">
        <v>390</v>
      </c>
      <c r="J14" s="10" t="s">
        <v>23</v>
      </c>
      <c r="K14" s="10" t="s">
        <v>23</v>
      </c>
      <c r="L14" s="10" t="s">
        <v>141</v>
      </c>
      <c r="M14" s="10" t="s">
        <v>141</v>
      </c>
      <c r="N14" s="10" t="s">
        <v>141</v>
      </c>
      <c r="O14" s="10">
        <v>310</v>
      </c>
      <c r="P14" s="10" t="s">
        <v>141</v>
      </c>
      <c r="Q14" s="10" t="s">
        <v>141</v>
      </c>
      <c r="R14" s="10" t="s">
        <v>141</v>
      </c>
      <c r="S14" s="10" t="s">
        <v>141</v>
      </c>
      <c r="T14" s="10" t="s">
        <v>141</v>
      </c>
      <c r="U14" s="10">
        <v>3600</v>
      </c>
      <c r="V14" s="10">
        <f t="shared" si="10"/>
        <v>4930</v>
      </c>
      <c r="W14" s="10">
        <f t="shared" si="11"/>
        <v>390</v>
      </c>
      <c r="X14" s="10">
        <f t="shared" si="12"/>
        <v>310</v>
      </c>
      <c r="Y14" s="10">
        <f t="shared" si="13"/>
        <v>3600</v>
      </c>
      <c r="Z14" s="10">
        <f t="shared" si="14"/>
        <v>9230</v>
      </c>
      <c r="AA14" s="11">
        <f t="shared" si="15"/>
        <v>461.5</v>
      </c>
      <c r="AB14" s="12">
        <f t="shared" si="16"/>
        <v>0.1330930064888248</v>
      </c>
      <c r="AC14">
        <v>19</v>
      </c>
      <c r="AD14">
        <f t="shared" si="17"/>
        <v>69350</v>
      </c>
      <c r="AF14">
        <f t="shared" si="18"/>
        <v>0</v>
      </c>
      <c r="AG14">
        <f t="shared" si="19"/>
        <v>69350</v>
      </c>
      <c r="AH14">
        <f t="shared" si="20"/>
        <v>76285</v>
      </c>
      <c r="AI14" s="15"/>
      <c r="AK14" s="13">
        <v>0</v>
      </c>
      <c r="AL14" s="13">
        <f t="shared" si="21"/>
        <v>0</v>
      </c>
      <c r="AM14" s="13">
        <f t="shared" si="22"/>
        <v>0</v>
      </c>
      <c r="AN14" s="13">
        <v>0</v>
      </c>
      <c r="AO14" s="13">
        <f t="shared" si="23"/>
        <v>0</v>
      </c>
      <c r="AP14">
        <f t="shared" si="24"/>
        <v>-60120</v>
      </c>
    </row>
    <row r="15" spans="1:42" x14ac:dyDescent="0.3">
      <c r="A15" s="9" t="s">
        <v>132</v>
      </c>
      <c r="B15" s="10" t="s">
        <v>128</v>
      </c>
      <c r="C15" s="10" t="s">
        <v>133</v>
      </c>
      <c r="D15" s="10" t="s">
        <v>133</v>
      </c>
      <c r="E15" s="10" t="s">
        <v>133</v>
      </c>
      <c r="F15" s="10" t="s">
        <v>133</v>
      </c>
      <c r="G15" s="10" t="s">
        <v>133</v>
      </c>
      <c r="H15" s="10">
        <v>1560</v>
      </c>
      <c r="I15" s="10">
        <v>1740</v>
      </c>
      <c r="J15" s="10">
        <v>1595</v>
      </c>
      <c r="K15" s="10">
        <v>2030</v>
      </c>
      <c r="L15" s="10">
        <v>2030</v>
      </c>
      <c r="M15" s="10">
        <v>2030</v>
      </c>
      <c r="N15">
        <v>2030</v>
      </c>
      <c r="O15" s="10">
        <v>2030</v>
      </c>
      <c r="P15" s="10">
        <v>1450</v>
      </c>
      <c r="Q15" s="10" t="s">
        <v>31</v>
      </c>
      <c r="R15" s="10" t="s">
        <v>31</v>
      </c>
      <c r="S15" s="10" t="s">
        <v>31</v>
      </c>
      <c r="T15" s="10" t="s">
        <v>31</v>
      </c>
      <c r="U15" s="30" t="s">
        <v>134</v>
      </c>
      <c r="V15" s="10">
        <f t="shared" si="10"/>
        <v>0</v>
      </c>
      <c r="W15" s="10">
        <f t="shared" si="11"/>
        <v>6925</v>
      </c>
      <c r="X15" s="10">
        <f t="shared" si="12"/>
        <v>9570</v>
      </c>
      <c r="Y15" s="10">
        <f t="shared" si="13"/>
        <v>0</v>
      </c>
      <c r="Z15" s="10">
        <f t="shared" si="14"/>
        <v>16495</v>
      </c>
      <c r="AA15" s="11">
        <f t="shared" si="15"/>
        <v>824.75</v>
      </c>
      <c r="AB15" s="12">
        <f t="shared" si="16"/>
        <v>0.23785147801009374</v>
      </c>
      <c r="AC15">
        <v>19</v>
      </c>
      <c r="AD15">
        <f t="shared" si="17"/>
        <v>69350</v>
      </c>
      <c r="AF15">
        <f t="shared" si="18"/>
        <v>0</v>
      </c>
      <c r="AG15">
        <f t="shared" si="19"/>
        <v>69350</v>
      </c>
      <c r="AH15">
        <f t="shared" si="20"/>
        <v>76285</v>
      </c>
      <c r="AI15" s="15"/>
      <c r="AK15" s="13">
        <v>0</v>
      </c>
      <c r="AL15" s="13">
        <f t="shared" si="21"/>
        <v>0</v>
      </c>
      <c r="AM15" s="13">
        <f t="shared" si="22"/>
        <v>0</v>
      </c>
      <c r="AN15" s="13">
        <v>0</v>
      </c>
      <c r="AO15" s="13">
        <f t="shared" si="23"/>
        <v>0</v>
      </c>
      <c r="AP15">
        <f t="shared" si="24"/>
        <v>-52855</v>
      </c>
    </row>
    <row r="16" spans="1:42" x14ac:dyDescent="0.3">
      <c r="A16" s="9" t="s">
        <v>146</v>
      </c>
      <c r="B16" s="10" t="s">
        <v>128</v>
      </c>
      <c r="C16" s="45" t="s">
        <v>133</v>
      </c>
      <c r="D16" s="45" t="s">
        <v>133</v>
      </c>
      <c r="E16" s="45" t="s">
        <v>133</v>
      </c>
      <c r="F16" s="45" t="s">
        <v>133</v>
      </c>
      <c r="G16" s="45" t="s">
        <v>133</v>
      </c>
      <c r="H16" s="45" t="s">
        <v>133</v>
      </c>
      <c r="I16" s="45" t="s">
        <v>133</v>
      </c>
      <c r="J16" s="45" t="s">
        <v>133</v>
      </c>
      <c r="K16" s="45" t="s">
        <v>133</v>
      </c>
      <c r="L16" s="45" t="s">
        <v>133</v>
      </c>
      <c r="M16" s="45" t="s">
        <v>133</v>
      </c>
      <c r="N16" s="45" t="s">
        <v>133</v>
      </c>
      <c r="O16" s="45" t="s">
        <v>133</v>
      </c>
      <c r="P16" s="45" t="s">
        <v>133</v>
      </c>
      <c r="Q16" s="45" t="s">
        <v>133</v>
      </c>
      <c r="R16" s="10">
        <v>1620</v>
      </c>
      <c r="S16" s="10">
        <v>1782</v>
      </c>
      <c r="T16" s="10">
        <v>1944</v>
      </c>
      <c r="U16" s="10">
        <v>1782</v>
      </c>
      <c r="V16" s="10">
        <f t="shared" si="10"/>
        <v>0</v>
      </c>
      <c r="W16" s="10">
        <f t="shared" si="11"/>
        <v>0</v>
      </c>
      <c r="X16" s="10">
        <f t="shared" si="12"/>
        <v>0</v>
      </c>
      <c r="Y16" s="10">
        <f t="shared" si="13"/>
        <v>7128</v>
      </c>
      <c r="Z16" s="10">
        <f t="shared" si="14"/>
        <v>7128</v>
      </c>
      <c r="AA16" s="11">
        <f t="shared" si="15"/>
        <v>356.4</v>
      </c>
      <c r="AB16" s="12">
        <f t="shared" si="16"/>
        <v>0.1027829848594088</v>
      </c>
      <c r="AC16">
        <v>19</v>
      </c>
      <c r="AD16">
        <f t="shared" si="17"/>
        <v>69350</v>
      </c>
      <c r="AF16">
        <f t="shared" si="18"/>
        <v>0</v>
      </c>
      <c r="AG16">
        <f t="shared" si="19"/>
        <v>69350</v>
      </c>
      <c r="AH16">
        <f t="shared" si="20"/>
        <v>76285</v>
      </c>
      <c r="AI16" s="15"/>
      <c r="AK16" s="13">
        <v>0</v>
      </c>
      <c r="AL16" s="13">
        <f t="shared" si="21"/>
        <v>0</v>
      </c>
      <c r="AM16" s="13">
        <f t="shared" si="22"/>
        <v>0</v>
      </c>
      <c r="AN16" s="13">
        <v>0</v>
      </c>
      <c r="AO16" s="13">
        <f t="shared" si="23"/>
        <v>0</v>
      </c>
      <c r="AP16">
        <f t="shared" si="24"/>
        <v>-62222</v>
      </c>
    </row>
    <row r="17" spans="1:42" x14ac:dyDescent="0.3">
      <c r="A17" s="9" t="s">
        <v>33</v>
      </c>
      <c r="B17" s="10" t="s">
        <v>128</v>
      </c>
      <c r="C17" s="10">
        <v>4140</v>
      </c>
      <c r="D17" s="10">
        <v>3780</v>
      </c>
      <c r="E17" s="41">
        <v>3000</v>
      </c>
      <c r="F17" s="41">
        <v>3000</v>
      </c>
      <c r="G17" s="41">
        <v>3000</v>
      </c>
      <c r="H17" s="10">
        <v>3720</v>
      </c>
      <c r="I17" s="10">
        <v>3720</v>
      </c>
      <c r="J17" s="10">
        <v>3770</v>
      </c>
      <c r="K17" s="10">
        <v>4030</v>
      </c>
      <c r="L17" s="10">
        <v>3410</v>
      </c>
      <c r="M17" s="10">
        <v>3720</v>
      </c>
      <c r="N17">
        <v>4030</v>
      </c>
      <c r="O17" s="10">
        <v>3720</v>
      </c>
      <c r="P17" s="10">
        <v>3720</v>
      </c>
      <c r="Q17" s="10">
        <v>3410</v>
      </c>
      <c r="R17" s="10">
        <v>3720</v>
      </c>
      <c r="S17" s="10">
        <v>3720</v>
      </c>
      <c r="T17" s="10">
        <v>3725</v>
      </c>
      <c r="U17" s="10">
        <v>3770</v>
      </c>
      <c r="V17" s="10">
        <f t="shared" si="10"/>
        <v>13920</v>
      </c>
      <c r="W17" s="10">
        <f t="shared" si="11"/>
        <v>18240</v>
      </c>
      <c r="X17" s="10">
        <f t="shared" si="12"/>
        <v>18600</v>
      </c>
      <c r="Y17" s="10">
        <f t="shared" si="13"/>
        <v>18345</v>
      </c>
      <c r="Z17" s="10">
        <f t="shared" si="14"/>
        <v>69105</v>
      </c>
      <c r="AA17" s="11">
        <f t="shared" si="15"/>
        <v>3455.25</v>
      </c>
      <c r="AB17" s="12">
        <f t="shared" si="16"/>
        <v>1.0275836431226766</v>
      </c>
      <c r="AC17">
        <v>16</v>
      </c>
      <c r="AD17">
        <f t="shared" si="17"/>
        <v>58400</v>
      </c>
      <c r="AE17">
        <v>3</v>
      </c>
      <c r="AF17">
        <f t="shared" si="18"/>
        <v>8850</v>
      </c>
      <c r="AG17">
        <f t="shared" si="19"/>
        <v>67250</v>
      </c>
      <c r="AH17">
        <f t="shared" si="20"/>
        <v>73975</v>
      </c>
      <c r="AI17" s="28">
        <f>Z17-AG17</f>
        <v>1855</v>
      </c>
      <c r="AK17" s="13">
        <v>1650</v>
      </c>
      <c r="AL17" s="13">
        <f t="shared" si="21"/>
        <v>185.5</v>
      </c>
      <c r="AM17" s="13">
        <f t="shared" si="22"/>
        <v>0</v>
      </c>
      <c r="AN17" s="13">
        <v>0</v>
      </c>
      <c r="AO17" s="13">
        <f t="shared" si="23"/>
        <v>1835.5</v>
      </c>
      <c r="AP17">
        <f t="shared" si="24"/>
        <v>1855</v>
      </c>
    </row>
    <row r="18" spans="1:42" x14ac:dyDescent="0.3">
      <c r="A18" s="9" t="s">
        <v>34</v>
      </c>
      <c r="B18" s="10" t="s">
        <v>128</v>
      </c>
      <c r="C18" s="10">
        <v>3630</v>
      </c>
      <c r="D18" s="10">
        <v>3750</v>
      </c>
      <c r="E18" s="41">
        <v>3000</v>
      </c>
      <c r="F18" s="41">
        <v>3000</v>
      </c>
      <c r="G18" s="41">
        <v>2820</v>
      </c>
      <c r="H18" s="10">
        <v>3780</v>
      </c>
      <c r="I18" s="10">
        <v>3840</v>
      </c>
      <c r="J18" s="10">
        <v>3720</v>
      </c>
      <c r="K18" s="10">
        <v>3770</v>
      </c>
      <c r="L18" s="10">
        <v>3770</v>
      </c>
      <c r="M18" s="10">
        <v>3770</v>
      </c>
      <c r="N18">
        <v>3770</v>
      </c>
      <c r="O18" s="10">
        <v>3770</v>
      </c>
      <c r="P18" s="10">
        <v>3770</v>
      </c>
      <c r="Q18" s="10">
        <v>3766</v>
      </c>
      <c r="R18" s="10">
        <v>3744</v>
      </c>
      <c r="S18" s="10">
        <v>3744</v>
      </c>
      <c r="T18" s="10">
        <v>3744</v>
      </c>
      <c r="U18" s="10">
        <v>3744</v>
      </c>
      <c r="V18" s="10">
        <f t="shared" si="10"/>
        <v>13380</v>
      </c>
      <c r="W18" s="10">
        <f t="shared" si="11"/>
        <v>17930</v>
      </c>
      <c r="X18" s="10">
        <f t="shared" si="12"/>
        <v>18850</v>
      </c>
      <c r="Y18" s="10">
        <f t="shared" si="13"/>
        <v>18742</v>
      </c>
      <c r="Z18" s="10">
        <f t="shared" si="14"/>
        <v>68902</v>
      </c>
      <c r="AA18" s="11">
        <f t="shared" si="15"/>
        <v>3445.1</v>
      </c>
      <c r="AB18" s="12">
        <f t="shared" si="16"/>
        <v>1.0245650557620818</v>
      </c>
      <c r="AC18">
        <v>16</v>
      </c>
      <c r="AD18">
        <f t="shared" si="17"/>
        <v>58400</v>
      </c>
      <c r="AE18">
        <v>3</v>
      </c>
      <c r="AF18">
        <f t="shared" si="18"/>
        <v>8850</v>
      </c>
      <c r="AG18">
        <f t="shared" si="19"/>
        <v>67250</v>
      </c>
      <c r="AH18">
        <f t="shared" si="20"/>
        <v>73975</v>
      </c>
      <c r="AI18" s="28">
        <f>Z18-AG18</f>
        <v>1652</v>
      </c>
      <c r="AK18" s="13">
        <v>1650</v>
      </c>
      <c r="AL18" s="13">
        <f t="shared" si="21"/>
        <v>165.20000000000002</v>
      </c>
      <c r="AM18" s="13">
        <f t="shared" si="22"/>
        <v>0</v>
      </c>
      <c r="AN18" s="13">
        <v>0</v>
      </c>
      <c r="AO18" s="13">
        <f t="shared" si="23"/>
        <v>1815.2</v>
      </c>
      <c r="AP18">
        <f t="shared" si="24"/>
        <v>1652</v>
      </c>
    </row>
    <row r="19" spans="1:42" x14ac:dyDescent="0.3">
      <c r="A19" s="9" t="s">
        <v>35</v>
      </c>
      <c r="B19" s="10" t="s">
        <v>128</v>
      </c>
      <c r="C19" s="10">
        <v>2400</v>
      </c>
      <c r="D19" s="10">
        <v>2700</v>
      </c>
      <c r="E19" s="41">
        <v>3000</v>
      </c>
      <c r="F19" s="41">
        <v>3000</v>
      </c>
      <c r="G19" s="41">
        <v>2100</v>
      </c>
      <c r="H19" s="10">
        <v>2730</v>
      </c>
      <c r="I19" s="10" t="s">
        <v>31</v>
      </c>
      <c r="J19" s="30" t="s">
        <v>134</v>
      </c>
      <c r="K19" s="30" t="s">
        <v>134</v>
      </c>
      <c r="L19" s="30" t="s">
        <v>134</v>
      </c>
      <c r="M19" s="30" t="s">
        <v>134</v>
      </c>
      <c r="N19" s="30" t="s">
        <v>134</v>
      </c>
      <c r="O19" s="30" t="s">
        <v>134</v>
      </c>
      <c r="P19" s="30" t="s">
        <v>134</v>
      </c>
      <c r="Q19" s="30" t="s">
        <v>134</v>
      </c>
      <c r="R19" s="30" t="s">
        <v>134</v>
      </c>
      <c r="S19" s="30" t="s">
        <v>134</v>
      </c>
      <c r="T19" s="30" t="s">
        <v>134</v>
      </c>
      <c r="U19" s="30" t="s">
        <v>134</v>
      </c>
      <c r="V19" s="10">
        <f t="shared" si="10"/>
        <v>11100</v>
      </c>
      <c r="W19" s="10">
        <f t="shared" si="11"/>
        <v>4830</v>
      </c>
      <c r="X19" s="10">
        <f t="shared" si="12"/>
        <v>0</v>
      </c>
      <c r="Y19" s="10">
        <f t="shared" si="13"/>
        <v>0</v>
      </c>
      <c r="Z19" s="10">
        <f t="shared" si="14"/>
        <v>15930</v>
      </c>
      <c r="AA19" s="11">
        <f t="shared" si="15"/>
        <v>796.5</v>
      </c>
      <c r="AB19" s="12">
        <f t="shared" si="16"/>
        <v>0.2297043979812545</v>
      </c>
      <c r="AC19">
        <v>19</v>
      </c>
      <c r="AD19">
        <f t="shared" si="17"/>
        <v>69350</v>
      </c>
      <c r="AF19">
        <f t="shared" si="18"/>
        <v>0</v>
      </c>
      <c r="AG19">
        <f t="shared" si="19"/>
        <v>69350</v>
      </c>
      <c r="AH19">
        <f t="shared" si="20"/>
        <v>76285</v>
      </c>
      <c r="AI19" s="15"/>
      <c r="AK19" s="13">
        <v>0</v>
      </c>
      <c r="AL19" s="13">
        <f t="shared" si="21"/>
        <v>0</v>
      </c>
      <c r="AM19" s="13">
        <f t="shared" si="22"/>
        <v>0</v>
      </c>
      <c r="AN19" s="13">
        <v>0</v>
      </c>
      <c r="AO19" s="13">
        <f t="shared" si="23"/>
        <v>0</v>
      </c>
      <c r="AP19">
        <f t="shared" si="24"/>
        <v>-53420</v>
      </c>
    </row>
    <row r="20" spans="1:42" x14ac:dyDescent="0.3">
      <c r="A20" s="9" t="s">
        <v>36</v>
      </c>
      <c r="B20" s="10" t="s">
        <v>128</v>
      </c>
      <c r="C20" s="10">
        <v>3570</v>
      </c>
      <c r="D20" s="10">
        <v>3750</v>
      </c>
      <c r="E20" s="41">
        <v>3000</v>
      </c>
      <c r="F20" s="41">
        <v>3000</v>
      </c>
      <c r="G20" s="41">
        <v>3000</v>
      </c>
      <c r="H20" s="10">
        <v>3600</v>
      </c>
      <c r="I20" s="10">
        <v>3770</v>
      </c>
      <c r="J20" s="10">
        <v>3625</v>
      </c>
      <c r="K20" s="10">
        <v>3770</v>
      </c>
      <c r="L20" s="10">
        <v>3480</v>
      </c>
      <c r="M20" s="10">
        <v>3480</v>
      </c>
      <c r="N20">
        <v>3770</v>
      </c>
      <c r="O20" s="10">
        <v>3770</v>
      </c>
      <c r="P20" s="10">
        <v>3770</v>
      </c>
      <c r="Q20" s="10">
        <v>3762</v>
      </c>
      <c r="R20" s="10">
        <v>3744</v>
      </c>
      <c r="S20" s="10">
        <v>3312</v>
      </c>
      <c r="T20" s="10">
        <v>3744</v>
      </c>
      <c r="U20" s="10">
        <v>3744</v>
      </c>
      <c r="V20" s="10">
        <f t="shared" si="10"/>
        <v>13320</v>
      </c>
      <c r="W20" s="10">
        <f t="shared" si="11"/>
        <v>17765</v>
      </c>
      <c r="X20" s="10">
        <f t="shared" si="12"/>
        <v>18270</v>
      </c>
      <c r="Y20" s="10">
        <f t="shared" si="13"/>
        <v>18306</v>
      </c>
      <c r="Z20" s="10">
        <f t="shared" si="14"/>
        <v>67661</v>
      </c>
      <c r="AA20" s="11">
        <f t="shared" si="15"/>
        <v>3383.05</v>
      </c>
      <c r="AB20" s="12">
        <f t="shared" si="16"/>
        <v>1.0061115241635687</v>
      </c>
      <c r="AC20">
        <v>16</v>
      </c>
      <c r="AD20">
        <f t="shared" si="17"/>
        <v>58400</v>
      </c>
      <c r="AE20">
        <v>3</v>
      </c>
      <c r="AF20">
        <f t="shared" si="18"/>
        <v>8850</v>
      </c>
      <c r="AG20">
        <f t="shared" si="19"/>
        <v>67250</v>
      </c>
      <c r="AH20">
        <f t="shared" si="20"/>
        <v>73975</v>
      </c>
      <c r="AI20" s="28">
        <f>Z20-AG20</f>
        <v>411</v>
      </c>
      <c r="AK20" s="13">
        <v>1650</v>
      </c>
      <c r="AL20" s="13">
        <f t="shared" si="21"/>
        <v>41.1</v>
      </c>
      <c r="AM20" s="13">
        <f t="shared" si="22"/>
        <v>0</v>
      </c>
      <c r="AN20" s="13">
        <v>0</v>
      </c>
      <c r="AO20" s="13">
        <f t="shared" si="23"/>
        <v>1691.1</v>
      </c>
      <c r="AP20">
        <f t="shared" si="24"/>
        <v>411</v>
      </c>
    </row>
    <row r="21" spans="1:42" x14ac:dyDescent="0.3">
      <c r="A21" s="9" t="s">
        <v>37</v>
      </c>
      <c r="B21" s="10" t="s">
        <v>128</v>
      </c>
      <c r="C21" s="10">
        <v>3780</v>
      </c>
      <c r="D21" s="10">
        <v>3780</v>
      </c>
      <c r="E21" s="41">
        <v>3000</v>
      </c>
      <c r="F21" s="41">
        <v>3000</v>
      </c>
      <c r="G21" s="41">
        <v>3000</v>
      </c>
      <c r="H21" s="10">
        <v>3705</v>
      </c>
      <c r="I21" s="10">
        <v>4095</v>
      </c>
      <c r="J21" s="10">
        <v>3705</v>
      </c>
      <c r="K21" s="10">
        <v>3705</v>
      </c>
      <c r="L21" s="10">
        <v>3705</v>
      </c>
      <c r="M21" s="10">
        <v>3880</v>
      </c>
      <c r="N21">
        <v>3776</v>
      </c>
      <c r="O21" s="10">
        <v>3726</v>
      </c>
      <c r="P21" s="10">
        <v>3770</v>
      </c>
      <c r="Q21" s="10">
        <v>3675</v>
      </c>
      <c r="R21" s="10">
        <v>3720</v>
      </c>
      <c r="S21" s="10">
        <v>3720</v>
      </c>
      <c r="T21" s="10">
        <v>3560</v>
      </c>
      <c r="U21" s="10">
        <v>3770</v>
      </c>
      <c r="V21" s="10">
        <f t="shared" si="10"/>
        <v>13560</v>
      </c>
      <c r="W21" s="10">
        <f t="shared" si="11"/>
        <v>18210</v>
      </c>
      <c r="X21" s="10">
        <f t="shared" si="12"/>
        <v>18857</v>
      </c>
      <c r="Y21" s="10">
        <f t="shared" si="13"/>
        <v>18445</v>
      </c>
      <c r="Z21" s="10">
        <f t="shared" si="14"/>
        <v>69072</v>
      </c>
      <c r="AA21" s="11">
        <f t="shared" si="15"/>
        <v>3453.6</v>
      </c>
      <c r="AB21" s="12">
        <f t="shared" si="16"/>
        <v>1.027092936802974</v>
      </c>
      <c r="AC21">
        <v>16</v>
      </c>
      <c r="AD21">
        <f t="shared" si="17"/>
        <v>58400</v>
      </c>
      <c r="AE21">
        <v>3</v>
      </c>
      <c r="AF21">
        <f t="shared" si="18"/>
        <v>8850</v>
      </c>
      <c r="AG21">
        <f t="shared" si="19"/>
        <v>67250</v>
      </c>
      <c r="AH21">
        <f t="shared" si="20"/>
        <v>73975</v>
      </c>
      <c r="AI21" s="28">
        <f>Z21-AG21</f>
        <v>1822</v>
      </c>
      <c r="AK21" s="13">
        <v>1650</v>
      </c>
      <c r="AL21" s="13">
        <f t="shared" si="21"/>
        <v>182.20000000000002</v>
      </c>
      <c r="AM21" s="13">
        <f t="shared" si="22"/>
        <v>0</v>
      </c>
      <c r="AN21" s="13">
        <v>0</v>
      </c>
      <c r="AO21" s="13">
        <f t="shared" si="23"/>
        <v>1832.2</v>
      </c>
      <c r="AP21">
        <f t="shared" si="24"/>
        <v>1822</v>
      </c>
    </row>
    <row r="22" spans="1:42" x14ac:dyDescent="0.3">
      <c r="A22" s="9" t="s">
        <v>40</v>
      </c>
      <c r="B22" s="10" t="s">
        <v>128</v>
      </c>
      <c r="C22" s="10">
        <v>4140</v>
      </c>
      <c r="D22" s="10">
        <v>4140</v>
      </c>
      <c r="E22" s="41">
        <v>3300</v>
      </c>
      <c r="F22" s="41">
        <v>3300</v>
      </c>
      <c r="G22" s="41">
        <v>3300</v>
      </c>
      <c r="H22" s="10">
        <v>3720</v>
      </c>
      <c r="I22" s="10">
        <v>4030</v>
      </c>
      <c r="J22" s="10">
        <v>4030</v>
      </c>
      <c r="K22" s="10">
        <v>4030</v>
      </c>
      <c r="L22" s="10">
        <v>4030</v>
      </c>
      <c r="M22" s="10">
        <v>3720</v>
      </c>
      <c r="N22">
        <v>4030</v>
      </c>
      <c r="O22" s="10">
        <v>4030</v>
      </c>
      <c r="P22" s="10">
        <v>4030</v>
      </c>
      <c r="Q22" s="10">
        <v>4030</v>
      </c>
      <c r="R22" s="10">
        <v>4340</v>
      </c>
      <c r="S22" s="10">
        <v>4030</v>
      </c>
      <c r="T22" s="10" t="s">
        <v>24</v>
      </c>
      <c r="U22" s="10">
        <v>3770</v>
      </c>
      <c r="V22" s="10">
        <f t="shared" si="10"/>
        <v>14880</v>
      </c>
      <c r="W22" s="10">
        <f t="shared" si="11"/>
        <v>19110</v>
      </c>
      <c r="X22" s="10">
        <f t="shared" si="12"/>
        <v>19840</v>
      </c>
      <c r="Y22" s="10">
        <f t="shared" si="13"/>
        <v>16170</v>
      </c>
      <c r="Z22" s="10">
        <f t="shared" si="14"/>
        <v>70000</v>
      </c>
      <c r="AA22" s="11">
        <f t="shared" si="15"/>
        <v>3500</v>
      </c>
      <c r="AB22" s="12">
        <f t="shared" si="16"/>
        <v>1.10062893081761</v>
      </c>
      <c r="AC22">
        <v>15</v>
      </c>
      <c r="AD22">
        <f t="shared" si="17"/>
        <v>54750</v>
      </c>
      <c r="AE22">
        <v>3</v>
      </c>
      <c r="AF22">
        <f t="shared" si="18"/>
        <v>8850</v>
      </c>
      <c r="AG22">
        <f t="shared" si="19"/>
        <v>63600</v>
      </c>
      <c r="AH22">
        <f t="shared" si="20"/>
        <v>69960</v>
      </c>
      <c r="AI22" s="15">
        <f>AH22-AG22</f>
        <v>6360</v>
      </c>
      <c r="AJ22" s="15">
        <f>Z22-AH22</f>
        <v>40</v>
      </c>
      <c r="AK22" s="13">
        <v>1650</v>
      </c>
      <c r="AL22" s="13">
        <f t="shared" si="21"/>
        <v>636</v>
      </c>
      <c r="AM22" s="13">
        <f t="shared" si="22"/>
        <v>4.8</v>
      </c>
      <c r="AN22" s="13">
        <v>0</v>
      </c>
      <c r="AO22" s="13">
        <f>AK22+AL22+AM22-AN22</f>
        <v>2290.8000000000002</v>
      </c>
      <c r="AP22">
        <f t="shared" si="24"/>
        <v>6400</v>
      </c>
    </row>
    <row r="23" spans="1:42" x14ac:dyDescent="0.3">
      <c r="A23" s="9" t="s">
        <v>41</v>
      </c>
      <c r="B23" s="10" t="s">
        <v>128</v>
      </c>
      <c r="C23" s="10">
        <v>3780</v>
      </c>
      <c r="D23" s="10">
        <v>3780</v>
      </c>
      <c r="E23" s="41">
        <v>3000</v>
      </c>
      <c r="F23" s="41">
        <v>3000</v>
      </c>
      <c r="G23" s="41">
        <v>3000</v>
      </c>
      <c r="H23" s="10">
        <v>3705</v>
      </c>
      <c r="I23" s="10">
        <v>3705</v>
      </c>
      <c r="J23" s="10">
        <v>3705</v>
      </c>
      <c r="K23" s="10">
        <v>3705</v>
      </c>
      <c r="L23" s="10">
        <v>3705</v>
      </c>
      <c r="M23" s="10">
        <v>3730</v>
      </c>
      <c r="N23" s="10">
        <f>3762+324</f>
        <v>4086</v>
      </c>
      <c r="O23" s="10">
        <v>3684</v>
      </c>
      <c r="P23" s="10">
        <v>3720</v>
      </c>
      <c r="Q23" s="10">
        <v>3720</v>
      </c>
      <c r="R23" s="10">
        <v>3720</v>
      </c>
      <c r="S23" s="10">
        <v>3720</v>
      </c>
      <c r="T23" s="10">
        <v>3745</v>
      </c>
      <c r="U23" s="10">
        <v>3770</v>
      </c>
      <c r="V23" s="10">
        <f t="shared" si="10"/>
        <v>13560</v>
      </c>
      <c r="W23" s="10">
        <f t="shared" si="11"/>
        <v>17820</v>
      </c>
      <c r="X23" s="10">
        <f t="shared" si="12"/>
        <v>18925</v>
      </c>
      <c r="Y23" s="10">
        <f t="shared" si="13"/>
        <v>18675</v>
      </c>
      <c r="Z23" s="10">
        <f t="shared" si="14"/>
        <v>68980</v>
      </c>
      <c r="AA23" s="11">
        <f t="shared" si="15"/>
        <v>3449</v>
      </c>
      <c r="AB23" s="12">
        <f t="shared" si="16"/>
        <v>1.0257249070631971</v>
      </c>
      <c r="AC23">
        <v>16</v>
      </c>
      <c r="AD23">
        <f t="shared" si="17"/>
        <v>58400</v>
      </c>
      <c r="AE23">
        <v>3</v>
      </c>
      <c r="AF23">
        <f t="shared" si="18"/>
        <v>8850</v>
      </c>
      <c r="AG23">
        <f t="shared" si="19"/>
        <v>67250</v>
      </c>
      <c r="AH23">
        <f t="shared" si="20"/>
        <v>73975</v>
      </c>
      <c r="AI23" s="28">
        <f>Z23-AG23</f>
        <v>1730</v>
      </c>
      <c r="AK23" s="13">
        <v>1650</v>
      </c>
      <c r="AL23" s="13">
        <f t="shared" si="21"/>
        <v>173</v>
      </c>
      <c r="AM23" s="13">
        <f t="shared" si="22"/>
        <v>0</v>
      </c>
      <c r="AN23" s="13">
        <v>0</v>
      </c>
      <c r="AO23" s="13">
        <f t="shared" si="23"/>
        <v>1823</v>
      </c>
      <c r="AP23">
        <f t="shared" si="24"/>
        <v>1730</v>
      </c>
    </row>
    <row r="24" spans="1:42" x14ac:dyDescent="0.3">
      <c r="A24" s="9" t="s">
        <v>147</v>
      </c>
      <c r="B24" s="10" t="s">
        <v>128</v>
      </c>
      <c r="C24" s="45" t="s">
        <v>133</v>
      </c>
      <c r="D24" s="45" t="s">
        <v>133</v>
      </c>
      <c r="E24" s="45" t="s">
        <v>133</v>
      </c>
      <c r="F24" s="45" t="s">
        <v>133</v>
      </c>
      <c r="G24" s="45" t="s">
        <v>133</v>
      </c>
      <c r="H24" s="45" t="s">
        <v>133</v>
      </c>
      <c r="I24" s="45" t="s">
        <v>133</v>
      </c>
      <c r="J24" s="45" t="s">
        <v>133</v>
      </c>
      <c r="K24" s="45" t="s">
        <v>133</v>
      </c>
      <c r="L24" s="45" t="s">
        <v>133</v>
      </c>
      <c r="M24" s="45" t="s">
        <v>133</v>
      </c>
      <c r="N24" s="45" t="s">
        <v>133</v>
      </c>
      <c r="O24" s="45" t="s">
        <v>133</v>
      </c>
      <c r="P24" s="45" t="s">
        <v>133</v>
      </c>
      <c r="Q24" s="45" t="s">
        <v>133</v>
      </c>
      <c r="R24" s="45" t="s">
        <v>133</v>
      </c>
      <c r="S24" s="10">
        <v>1550</v>
      </c>
      <c r="T24" s="10">
        <v>2090</v>
      </c>
      <c r="U24" s="10">
        <v>1860</v>
      </c>
      <c r="V24" s="10">
        <f t="shared" si="10"/>
        <v>0</v>
      </c>
      <c r="W24" s="10">
        <f t="shared" si="11"/>
        <v>0</v>
      </c>
      <c r="X24" s="10">
        <f t="shared" si="12"/>
        <v>0</v>
      </c>
      <c r="Y24" s="10">
        <f t="shared" si="13"/>
        <v>5500</v>
      </c>
      <c r="Z24" s="10">
        <f t="shared" si="14"/>
        <v>5500</v>
      </c>
      <c r="AA24" s="11">
        <f t="shared" si="15"/>
        <v>275</v>
      </c>
      <c r="AB24" s="12">
        <f t="shared" si="16"/>
        <v>7.9307858687815425E-2</v>
      </c>
      <c r="AC24">
        <v>19</v>
      </c>
      <c r="AD24">
        <f t="shared" si="17"/>
        <v>69350</v>
      </c>
      <c r="AF24">
        <f t="shared" si="18"/>
        <v>0</v>
      </c>
      <c r="AG24">
        <f t="shared" si="19"/>
        <v>69350</v>
      </c>
      <c r="AH24">
        <f t="shared" si="20"/>
        <v>76285</v>
      </c>
      <c r="AI24" s="15"/>
      <c r="AK24" s="13">
        <v>0</v>
      </c>
      <c r="AL24" s="13">
        <f t="shared" si="21"/>
        <v>0</v>
      </c>
      <c r="AM24" s="13">
        <f t="shared" si="22"/>
        <v>0</v>
      </c>
      <c r="AN24" s="13">
        <v>0</v>
      </c>
      <c r="AO24" s="13">
        <f t="shared" si="23"/>
        <v>0</v>
      </c>
      <c r="AP24">
        <f t="shared" si="24"/>
        <v>-63850</v>
      </c>
    </row>
    <row r="25" spans="1:42" x14ac:dyDescent="0.3">
      <c r="A25" s="9" t="s">
        <v>148</v>
      </c>
      <c r="B25" s="10" t="s">
        <v>128</v>
      </c>
      <c r="C25" s="45" t="s">
        <v>133</v>
      </c>
      <c r="D25" s="45" t="s">
        <v>133</v>
      </c>
      <c r="E25" s="45" t="s">
        <v>133</v>
      </c>
      <c r="F25" s="45" t="s">
        <v>133</v>
      </c>
      <c r="G25" s="45" t="s">
        <v>133</v>
      </c>
      <c r="H25" s="45" t="s">
        <v>133</v>
      </c>
      <c r="I25" s="45" t="s">
        <v>133</v>
      </c>
      <c r="J25" s="45" t="s">
        <v>133</v>
      </c>
      <c r="K25" s="45" t="s">
        <v>133</v>
      </c>
      <c r="L25" s="45" t="s">
        <v>133</v>
      </c>
      <c r="M25" s="45" t="s">
        <v>133</v>
      </c>
      <c r="N25" s="45" t="s">
        <v>133</v>
      </c>
      <c r="O25" s="45" t="s">
        <v>133</v>
      </c>
      <c r="P25" s="45" t="s">
        <v>133</v>
      </c>
      <c r="Q25" s="45" t="s">
        <v>133</v>
      </c>
      <c r="R25" s="45" t="s">
        <v>133</v>
      </c>
      <c r="S25" s="10">
        <v>1440</v>
      </c>
      <c r="T25" s="10">
        <v>1440</v>
      </c>
      <c r="U25" s="10" t="s">
        <v>31</v>
      </c>
      <c r="V25" s="10">
        <f t="shared" si="10"/>
        <v>0</v>
      </c>
      <c r="W25" s="10">
        <f t="shared" si="11"/>
        <v>0</v>
      </c>
      <c r="X25" s="10">
        <f t="shared" si="12"/>
        <v>0</v>
      </c>
      <c r="Y25" s="10">
        <f t="shared" si="13"/>
        <v>2880</v>
      </c>
      <c r="Z25" s="10">
        <f t="shared" si="14"/>
        <v>2880</v>
      </c>
      <c r="AA25" s="11">
        <f t="shared" si="15"/>
        <v>144</v>
      </c>
      <c r="AB25" s="12">
        <f t="shared" si="16"/>
        <v>4.1528478731074257E-2</v>
      </c>
      <c r="AC25">
        <v>19</v>
      </c>
      <c r="AD25">
        <f t="shared" si="17"/>
        <v>69350</v>
      </c>
      <c r="AF25">
        <f t="shared" si="18"/>
        <v>0</v>
      </c>
      <c r="AG25">
        <f t="shared" si="19"/>
        <v>69350</v>
      </c>
      <c r="AH25">
        <f t="shared" si="20"/>
        <v>76285</v>
      </c>
      <c r="AI25" s="15"/>
      <c r="AK25" s="13">
        <v>0</v>
      </c>
      <c r="AL25" s="13">
        <f t="shared" si="21"/>
        <v>0</v>
      </c>
      <c r="AM25" s="13">
        <f t="shared" si="22"/>
        <v>0</v>
      </c>
      <c r="AN25" s="13">
        <v>0</v>
      </c>
      <c r="AO25" s="13">
        <f t="shared" si="23"/>
        <v>0</v>
      </c>
      <c r="AP25">
        <f t="shared" si="24"/>
        <v>-66470</v>
      </c>
    </row>
    <row r="26" spans="1:42" x14ac:dyDescent="0.3">
      <c r="A26" s="9" t="s">
        <v>42</v>
      </c>
      <c r="B26" s="10" t="s">
        <v>128</v>
      </c>
      <c r="C26" s="10">
        <v>3780</v>
      </c>
      <c r="D26" s="10">
        <v>3780</v>
      </c>
      <c r="E26" s="41">
        <v>3000</v>
      </c>
      <c r="F26" s="41">
        <v>3000</v>
      </c>
      <c r="G26" s="41">
        <v>3000</v>
      </c>
      <c r="H26" s="10">
        <v>3705</v>
      </c>
      <c r="I26" s="10">
        <v>4095</v>
      </c>
      <c r="J26" s="10">
        <v>3705</v>
      </c>
      <c r="K26" s="10">
        <v>3705</v>
      </c>
      <c r="L26" s="10">
        <v>3705</v>
      </c>
      <c r="M26" s="10">
        <v>3650</v>
      </c>
      <c r="N26">
        <v>3776</v>
      </c>
      <c r="O26" s="10">
        <v>3726</v>
      </c>
      <c r="P26" s="10">
        <v>3770</v>
      </c>
      <c r="Q26" s="10">
        <v>3655</v>
      </c>
      <c r="R26" s="10">
        <v>3720</v>
      </c>
      <c r="S26" s="10">
        <v>3720</v>
      </c>
      <c r="T26" s="10">
        <v>3870</v>
      </c>
      <c r="U26" s="10">
        <v>3770</v>
      </c>
      <c r="V26" s="10">
        <f t="shared" si="10"/>
        <v>13560</v>
      </c>
      <c r="W26" s="10">
        <f t="shared" si="11"/>
        <v>18210</v>
      </c>
      <c r="X26" s="10">
        <f t="shared" si="12"/>
        <v>18627</v>
      </c>
      <c r="Y26" s="10">
        <f t="shared" si="13"/>
        <v>18735</v>
      </c>
      <c r="Z26" s="10">
        <f t="shared" si="14"/>
        <v>69132</v>
      </c>
      <c r="AA26" s="11">
        <f t="shared" si="15"/>
        <v>3456.6</v>
      </c>
      <c r="AB26" s="12">
        <f t="shared" si="16"/>
        <v>1.0279851301115241</v>
      </c>
      <c r="AC26">
        <v>16</v>
      </c>
      <c r="AD26">
        <f t="shared" si="17"/>
        <v>58400</v>
      </c>
      <c r="AE26">
        <v>3</v>
      </c>
      <c r="AF26">
        <f t="shared" si="18"/>
        <v>8850</v>
      </c>
      <c r="AG26">
        <f t="shared" si="19"/>
        <v>67250</v>
      </c>
      <c r="AH26">
        <f t="shared" si="20"/>
        <v>73975</v>
      </c>
      <c r="AI26" s="28">
        <f>Z26-AG26</f>
        <v>1882</v>
      </c>
      <c r="AK26" s="13">
        <v>1650</v>
      </c>
      <c r="AL26" s="13">
        <f t="shared" si="21"/>
        <v>188.20000000000002</v>
      </c>
      <c r="AM26" s="13">
        <f t="shared" si="22"/>
        <v>0</v>
      </c>
      <c r="AN26" s="13">
        <v>0</v>
      </c>
      <c r="AO26" s="13">
        <f t="shared" si="23"/>
        <v>1838.2</v>
      </c>
      <c r="AP26">
        <f t="shared" si="24"/>
        <v>1882</v>
      </c>
    </row>
    <row r="27" spans="1:42" x14ac:dyDescent="0.3">
      <c r="A27" s="9" t="s">
        <v>43</v>
      </c>
      <c r="B27" s="10" t="s">
        <v>128</v>
      </c>
      <c r="C27" s="10">
        <v>3120</v>
      </c>
      <c r="D27" s="10">
        <v>3000</v>
      </c>
      <c r="E27" s="41">
        <v>2850</v>
      </c>
      <c r="F27" s="41">
        <v>3000</v>
      </c>
      <c r="G27" s="41">
        <v>2640</v>
      </c>
      <c r="H27" s="10" t="s">
        <v>24</v>
      </c>
      <c r="I27" s="10" t="s">
        <v>24</v>
      </c>
      <c r="J27" s="10" t="s">
        <v>24</v>
      </c>
      <c r="K27" s="10" t="s">
        <v>24</v>
      </c>
      <c r="L27" s="10" t="s">
        <v>24</v>
      </c>
      <c r="M27" s="10">
        <v>2700</v>
      </c>
      <c r="N27">
        <v>2880</v>
      </c>
      <c r="O27" s="10">
        <v>3100</v>
      </c>
      <c r="P27" s="10">
        <v>2880</v>
      </c>
      <c r="Q27" s="10">
        <v>3120</v>
      </c>
      <c r="R27" s="10">
        <v>2880</v>
      </c>
      <c r="S27" s="10">
        <v>3000</v>
      </c>
      <c r="T27" s="10">
        <v>2700</v>
      </c>
      <c r="U27" s="10">
        <v>2610</v>
      </c>
      <c r="V27" s="10">
        <f t="shared" si="10"/>
        <v>11970</v>
      </c>
      <c r="W27" s="10">
        <f t="shared" si="11"/>
        <v>2640</v>
      </c>
      <c r="X27" s="10">
        <f t="shared" si="12"/>
        <v>11560</v>
      </c>
      <c r="Y27" s="10">
        <f t="shared" si="13"/>
        <v>14310</v>
      </c>
      <c r="Z27" s="10">
        <f t="shared" si="14"/>
        <v>40480</v>
      </c>
      <c r="AA27" s="11">
        <f t="shared" si="15"/>
        <v>2024</v>
      </c>
      <c r="AB27" s="12">
        <f t="shared" si="16"/>
        <v>0.82612244897959186</v>
      </c>
      <c r="AC27">
        <v>11</v>
      </c>
      <c r="AD27">
        <f t="shared" si="17"/>
        <v>40150</v>
      </c>
      <c r="AE27">
        <v>3</v>
      </c>
      <c r="AF27">
        <f t="shared" si="18"/>
        <v>8850</v>
      </c>
      <c r="AG27">
        <f t="shared" si="19"/>
        <v>49000</v>
      </c>
      <c r="AH27">
        <f t="shared" si="20"/>
        <v>53900</v>
      </c>
      <c r="AI27" s="15"/>
      <c r="AK27" s="13">
        <v>0</v>
      </c>
      <c r="AL27" s="13">
        <f t="shared" si="21"/>
        <v>0</v>
      </c>
      <c r="AM27" s="13">
        <f t="shared" si="22"/>
        <v>0</v>
      </c>
      <c r="AN27" s="13">
        <v>0</v>
      </c>
      <c r="AO27" s="13">
        <f t="shared" si="23"/>
        <v>0</v>
      </c>
      <c r="AP27">
        <f t="shared" si="24"/>
        <v>-8520</v>
      </c>
    </row>
    <row r="28" spans="1:42" x14ac:dyDescent="0.3">
      <c r="A28" s="9" t="s">
        <v>44</v>
      </c>
      <c r="B28" s="10" t="s">
        <v>128</v>
      </c>
      <c r="C28" s="10">
        <v>3960</v>
      </c>
      <c r="D28" s="10">
        <v>4140</v>
      </c>
      <c r="E28" s="41">
        <v>3300</v>
      </c>
      <c r="F28" s="41">
        <v>3300</v>
      </c>
      <c r="G28" s="41">
        <v>3300</v>
      </c>
      <c r="H28" s="10">
        <v>4095</v>
      </c>
      <c r="I28" s="10">
        <v>4095</v>
      </c>
      <c r="J28" s="10">
        <v>4095</v>
      </c>
      <c r="K28" s="10">
        <v>4095</v>
      </c>
      <c r="L28" s="10">
        <v>4485</v>
      </c>
      <c r="M28" s="10">
        <v>4040</v>
      </c>
      <c r="N28" s="10">
        <f>4058+480</f>
        <v>4538</v>
      </c>
      <c r="O28" s="10">
        <v>3888</v>
      </c>
      <c r="P28" s="10">
        <v>3966</v>
      </c>
      <c r="Q28" s="10">
        <v>4030</v>
      </c>
      <c r="R28" s="10">
        <v>4030</v>
      </c>
      <c r="S28" s="10">
        <v>4030</v>
      </c>
      <c r="T28" s="10">
        <v>3910</v>
      </c>
      <c r="U28" s="10">
        <v>3770</v>
      </c>
      <c r="V28" s="10">
        <f t="shared" si="10"/>
        <v>14700</v>
      </c>
      <c r="W28" s="10">
        <f t="shared" si="11"/>
        <v>19680</v>
      </c>
      <c r="X28" s="10">
        <f t="shared" si="12"/>
        <v>20917</v>
      </c>
      <c r="Y28" s="10">
        <f t="shared" si="13"/>
        <v>19770</v>
      </c>
      <c r="Z28" s="10">
        <f t="shared" si="14"/>
        <v>75067</v>
      </c>
      <c r="AA28" s="11">
        <f t="shared" si="15"/>
        <v>3753.35</v>
      </c>
      <c r="AB28" s="12">
        <f t="shared" si="16"/>
        <v>1.1162379182156135</v>
      </c>
      <c r="AC28">
        <v>16</v>
      </c>
      <c r="AD28">
        <f t="shared" si="17"/>
        <v>58400</v>
      </c>
      <c r="AE28">
        <v>3</v>
      </c>
      <c r="AF28">
        <f t="shared" si="18"/>
        <v>8850</v>
      </c>
      <c r="AG28">
        <f t="shared" si="19"/>
        <v>67250</v>
      </c>
      <c r="AH28">
        <f t="shared" si="20"/>
        <v>73975</v>
      </c>
      <c r="AI28" s="15">
        <f t="shared" ref="AI28:AI29" si="25">AH28-AG28</f>
        <v>6725</v>
      </c>
      <c r="AJ28" s="15">
        <f t="shared" ref="AJ28:AJ29" si="26">Z28-AH28</f>
        <v>1092</v>
      </c>
      <c r="AK28" s="13">
        <v>1650</v>
      </c>
      <c r="AL28" s="13">
        <f t="shared" si="21"/>
        <v>672.5</v>
      </c>
      <c r="AM28" s="13">
        <f t="shared" si="22"/>
        <v>131.04</v>
      </c>
      <c r="AN28" s="13">
        <v>0</v>
      </c>
      <c r="AO28" s="13">
        <f t="shared" si="23"/>
        <v>2453.54</v>
      </c>
      <c r="AP28">
        <f t="shared" si="24"/>
        <v>7817</v>
      </c>
    </row>
    <row r="29" spans="1:42" x14ac:dyDescent="0.3">
      <c r="A29" s="9" t="s">
        <v>45</v>
      </c>
      <c r="B29" s="10" t="s">
        <v>128</v>
      </c>
      <c r="C29" s="10">
        <v>4680</v>
      </c>
      <c r="D29" s="10">
        <v>4800</v>
      </c>
      <c r="E29" s="41">
        <v>4050</v>
      </c>
      <c r="F29" s="41">
        <v>4500</v>
      </c>
      <c r="G29" s="41">
        <v>4170</v>
      </c>
      <c r="H29" s="10">
        <v>4680</v>
      </c>
      <c r="I29" s="10">
        <v>4680</v>
      </c>
      <c r="J29" s="10">
        <v>4680</v>
      </c>
      <c r="K29" s="10">
        <v>4680</v>
      </c>
      <c r="L29" s="10">
        <v>4680</v>
      </c>
      <c r="M29" s="10">
        <v>4580</v>
      </c>
      <c r="N29">
        <v>4320</v>
      </c>
      <c r="O29" s="10">
        <v>4320</v>
      </c>
      <c r="P29" s="10">
        <v>4320</v>
      </c>
      <c r="Q29" s="10">
        <v>4560</v>
      </c>
      <c r="R29" s="10">
        <v>4560</v>
      </c>
      <c r="S29" s="10">
        <v>4440</v>
      </c>
      <c r="T29" s="10">
        <v>4480</v>
      </c>
      <c r="U29" s="10">
        <v>4350</v>
      </c>
      <c r="V29" s="10">
        <f t="shared" si="10"/>
        <v>18030</v>
      </c>
      <c r="W29" s="10">
        <f t="shared" si="11"/>
        <v>22890</v>
      </c>
      <c r="X29" s="10">
        <f t="shared" si="12"/>
        <v>22220</v>
      </c>
      <c r="Y29" s="10">
        <f t="shared" si="13"/>
        <v>22390</v>
      </c>
      <c r="Z29" s="10">
        <f t="shared" si="14"/>
        <v>85530</v>
      </c>
      <c r="AA29" s="11">
        <f t="shared" si="15"/>
        <v>4276.5</v>
      </c>
      <c r="AB29" s="12">
        <f t="shared" si="16"/>
        <v>1.2718215613382899</v>
      </c>
      <c r="AC29">
        <v>16</v>
      </c>
      <c r="AD29">
        <f t="shared" si="17"/>
        <v>58400</v>
      </c>
      <c r="AE29">
        <v>3</v>
      </c>
      <c r="AF29">
        <f t="shared" si="18"/>
        <v>8850</v>
      </c>
      <c r="AG29">
        <f t="shared" si="19"/>
        <v>67250</v>
      </c>
      <c r="AH29">
        <f t="shared" si="20"/>
        <v>73975</v>
      </c>
      <c r="AI29" s="15">
        <f t="shared" si="25"/>
        <v>6725</v>
      </c>
      <c r="AJ29" s="15">
        <f t="shared" si="26"/>
        <v>11555</v>
      </c>
      <c r="AK29" s="13">
        <v>1650</v>
      </c>
      <c r="AL29" s="13">
        <f t="shared" si="21"/>
        <v>672.5</v>
      </c>
      <c r="AM29" s="13">
        <f t="shared" si="22"/>
        <v>1386.6</v>
      </c>
      <c r="AN29" s="13">
        <v>0</v>
      </c>
      <c r="AO29" s="13">
        <f t="shared" si="23"/>
        <v>3709.1</v>
      </c>
      <c r="AP29">
        <f t="shared" si="24"/>
        <v>18280</v>
      </c>
    </row>
    <row r="30" spans="1:42" x14ac:dyDescent="0.3">
      <c r="A30" s="9" t="s">
        <v>143</v>
      </c>
      <c r="B30" s="10" t="s">
        <v>128</v>
      </c>
      <c r="C30" s="10" t="s">
        <v>133</v>
      </c>
      <c r="D30" s="10" t="s">
        <v>133</v>
      </c>
      <c r="E30" s="10" t="s">
        <v>133</v>
      </c>
      <c r="F30" s="10" t="s">
        <v>133</v>
      </c>
      <c r="G30" s="10" t="s">
        <v>133</v>
      </c>
      <c r="H30" s="10" t="s">
        <v>133</v>
      </c>
      <c r="I30" s="10" t="s">
        <v>133</v>
      </c>
      <c r="J30" s="10" t="s">
        <v>133</v>
      </c>
      <c r="K30" s="10" t="s">
        <v>133</v>
      </c>
      <c r="L30" s="10" t="s">
        <v>133</v>
      </c>
      <c r="M30" s="10">
        <v>1550</v>
      </c>
      <c r="N30">
        <v>1860</v>
      </c>
      <c r="O30" s="10">
        <v>2170</v>
      </c>
      <c r="P30" s="10">
        <v>1606</v>
      </c>
      <c r="Q30" s="10" t="s">
        <v>31</v>
      </c>
      <c r="R30" s="10" t="s">
        <v>31</v>
      </c>
      <c r="S30" s="10" t="s">
        <v>31</v>
      </c>
      <c r="T30" s="10" t="s">
        <v>31</v>
      </c>
      <c r="U30" s="30" t="s">
        <v>134</v>
      </c>
      <c r="V30" s="10">
        <f t="shared" si="10"/>
        <v>0</v>
      </c>
      <c r="W30" s="10">
        <f t="shared" si="11"/>
        <v>0</v>
      </c>
      <c r="X30" s="10">
        <f t="shared" si="12"/>
        <v>7186</v>
      </c>
      <c r="Y30" s="10">
        <f t="shared" si="13"/>
        <v>0</v>
      </c>
      <c r="Z30" s="10">
        <f t="shared" si="14"/>
        <v>7186</v>
      </c>
      <c r="AA30" s="11">
        <f t="shared" si="15"/>
        <v>359.3</v>
      </c>
      <c r="AB30" s="12">
        <f t="shared" si="16"/>
        <v>0.10361932227829848</v>
      </c>
      <c r="AC30">
        <v>19</v>
      </c>
      <c r="AD30">
        <f t="shared" si="17"/>
        <v>69350</v>
      </c>
      <c r="AF30">
        <f t="shared" si="18"/>
        <v>0</v>
      </c>
      <c r="AG30">
        <f t="shared" si="19"/>
        <v>69350</v>
      </c>
      <c r="AH30">
        <f t="shared" si="20"/>
        <v>76285</v>
      </c>
      <c r="AI30" s="15"/>
      <c r="AJ30" s="15"/>
      <c r="AK30" s="13">
        <v>0</v>
      </c>
      <c r="AL30" s="13">
        <f t="shared" si="21"/>
        <v>0</v>
      </c>
      <c r="AM30" s="13">
        <f t="shared" si="22"/>
        <v>0</v>
      </c>
      <c r="AN30" s="13">
        <v>0</v>
      </c>
      <c r="AO30" s="13">
        <f t="shared" si="23"/>
        <v>0</v>
      </c>
      <c r="AP30">
        <f t="shared" si="24"/>
        <v>-62164</v>
      </c>
    </row>
    <row r="31" spans="1:42" x14ac:dyDescent="0.3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N31" s="10"/>
      <c r="O31" s="10"/>
      <c r="P31" s="10"/>
      <c r="Q31" s="10"/>
      <c r="R31" s="10"/>
      <c r="S31" s="10"/>
      <c r="T31" s="10"/>
      <c r="U31" s="10"/>
      <c r="AA31" s="11"/>
      <c r="AB31" s="12"/>
      <c r="AK31" s="13"/>
      <c r="AL31" s="13"/>
      <c r="AM31" s="13"/>
      <c r="AN31" s="13"/>
      <c r="AO31" s="13"/>
    </row>
    <row r="32" spans="1:42" s="1" customFormat="1" ht="45" customHeight="1" x14ac:dyDescent="0.3">
      <c r="B32" s="48" t="s">
        <v>68</v>
      </c>
      <c r="C32" s="48"/>
      <c r="D32" s="48"/>
      <c r="E32" s="48"/>
      <c r="F32" s="48"/>
      <c r="G32" s="49" t="s">
        <v>69</v>
      </c>
      <c r="H32" s="49"/>
      <c r="I32" s="49"/>
      <c r="J32" s="49"/>
      <c r="K32" s="49"/>
      <c r="L32" s="48" t="s">
        <v>70</v>
      </c>
      <c r="M32" s="48"/>
      <c r="N32" s="48"/>
      <c r="O32" s="48"/>
      <c r="P32" s="48"/>
      <c r="Q32" s="49" t="s">
        <v>144</v>
      </c>
      <c r="R32" s="49"/>
      <c r="S32" s="49"/>
      <c r="T32" s="49"/>
      <c r="U32" s="49"/>
      <c r="V32" s="50" t="s">
        <v>0</v>
      </c>
      <c r="W32" s="50"/>
      <c r="X32" s="50"/>
      <c r="Y32" s="50"/>
      <c r="Z32" s="51" t="s">
        <v>1</v>
      </c>
      <c r="AA32" s="52" t="s">
        <v>2</v>
      </c>
      <c r="AB32" s="52"/>
      <c r="AC32" s="53" t="s">
        <v>3</v>
      </c>
      <c r="AD32" s="53"/>
      <c r="AE32" s="53"/>
      <c r="AF32" s="53"/>
      <c r="AG32" s="52" t="s">
        <v>4</v>
      </c>
      <c r="AH32" s="52"/>
      <c r="AI32" s="54" t="s">
        <v>5</v>
      </c>
      <c r="AJ32" s="54"/>
      <c r="AK32" s="55" t="s">
        <v>6</v>
      </c>
      <c r="AL32" s="55"/>
      <c r="AM32" s="55"/>
      <c r="AN32" s="55"/>
      <c r="AO32" s="55"/>
      <c r="AP32" s="47" t="s">
        <v>7</v>
      </c>
    </row>
    <row r="33" spans="1:42" ht="15.6" x14ac:dyDescent="0.3">
      <c r="A33" s="2" t="s">
        <v>46</v>
      </c>
      <c r="B33" s="3">
        <v>46115</v>
      </c>
      <c r="C33" s="3">
        <v>46118</v>
      </c>
      <c r="D33" s="3">
        <v>46119</v>
      </c>
      <c r="E33" s="3">
        <v>46120</v>
      </c>
      <c r="F33" s="3">
        <v>46121</v>
      </c>
      <c r="G33" s="25">
        <v>46122</v>
      </c>
      <c r="H33" s="25">
        <v>46125</v>
      </c>
      <c r="I33" s="25">
        <v>46126</v>
      </c>
      <c r="J33" s="25">
        <v>46127</v>
      </c>
      <c r="K33" s="25">
        <v>46128</v>
      </c>
      <c r="L33" s="3">
        <v>46129</v>
      </c>
      <c r="M33" s="3">
        <v>46132</v>
      </c>
      <c r="N33" s="3">
        <v>46133</v>
      </c>
      <c r="O33" s="3">
        <v>46134</v>
      </c>
      <c r="P33" s="3">
        <v>46135</v>
      </c>
      <c r="Q33" s="25">
        <v>46136</v>
      </c>
      <c r="R33" s="25">
        <v>46139</v>
      </c>
      <c r="S33" s="25">
        <v>46140</v>
      </c>
      <c r="T33" s="25">
        <v>46141</v>
      </c>
      <c r="U33" s="25">
        <v>46142</v>
      </c>
      <c r="V33" s="24" t="s">
        <v>68</v>
      </c>
      <c r="W33" s="24" t="s">
        <v>69</v>
      </c>
      <c r="X33" s="24" t="s">
        <v>70</v>
      </c>
      <c r="Y33" s="24" t="s">
        <v>144</v>
      </c>
      <c r="Z33" s="51"/>
      <c r="AA33" s="4" t="s">
        <v>9</v>
      </c>
      <c r="AB33" s="4" t="s">
        <v>10</v>
      </c>
      <c r="AC33" s="5" t="s">
        <v>11</v>
      </c>
      <c r="AD33" s="5" t="s">
        <v>12</v>
      </c>
      <c r="AE33" s="5" t="s">
        <v>13</v>
      </c>
      <c r="AF33" s="5" t="s">
        <v>12</v>
      </c>
      <c r="AG33" s="6">
        <v>1</v>
      </c>
      <c r="AH33" s="6">
        <v>1.1000000000000001</v>
      </c>
      <c r="AI33" s="7">
        <v>1</v>
      </c>
      <c r="AJ33" s="7">
        <v>1.1000000000000001</v>
      </c>
      <c r="AK33" s="8" t="s">
        <v>14</v>
      </c>
      <c r="AL33" s="8" t="s">
        <v>15</v>
      </c>
      <c r="AM33" s="8" t="s">
        <v>16</v>
      </c>
      <c r="AN33" s="8" t="s">
        <v>17</v>
      </c>
      <c r="AO33" s="8" t="s">
        <v>18</v>
      </c>
      <c r="AP33" s="47"/>
    </row>
    <row r="34" spans="1:42" x14ac:dyDescent="0.3">
      <c r="A34" s="9" t="s">
        <v>19</v>
      </c>
      <c r="B34" s="10" t="s">
        <v>128</v>
      </c>
      <c r="C34" s="10">
        <v>8010</v>
      </c>
      <c r="D34" s="23" t="s">
        <v>48</v>
      </c>
      <c r="E34" s="23" t="s">
        <v>48</v>
      </c>
      <c r="F34" s="23" t="s">
        <v>48</v>
      </c>
      <c r="G34" s="23" t="s">
        <v>48</v>
      </c>
      <c r="H34" s="23" t="s">
        <v>48</v>
      </c>
      <c r="I34" s="23" t="s">
        <v>48</v>
      </c>
      <c r="J34" s="23" t="s">
        <v>48</v>
      </c>
      <c r="K34" s="23" t="s">
        <v>48</v>
      </c>
      <c r="L34" s="23" t="s">
        <v>48</v>
      </c>
      <c r="M34" s="23" t="s">
        <v>48</v>
      </c>
      <c r="N34">
        <v>720</v>
      </c>
      <c r="O34" s="23" t="s">
        <v>48</v>
      </c>
      <c r="P34" s="23" t="s">
        <v>48</v>
      </c>
      <c r="Q34" s="23" t="s">
        <v>48</v>
      </c>
      <c r="R34" s="23" t="s">
        <v>48</v>
      </c>
      <c r="S34" s="23" t="s">
        <v>48</v>
      </c>
      <c r="T34" s="23" t="s">
        <v>48</v>
      </c>
      <c r="U34" s="23" t="s">
        <v>48</v>
      </c>
      <c r="V34">
        <f t="shared" ref="V34" si="27">SUM(B34:F34)</f>
        <v>8010</v>
      </c>
      <c r="W34">
        <f t="shared" ref="W34" si="28">SUM(G34:K34)</f>
        <v>0</v>
      </c>
      <c r="X34">
        <f t="shared" ref="X34" si="29">SUM(L34:P34)</f>
        <v>720</v>
      </c>
      <c r="Y34">
        <f t="shared" ref="Y34" si="30">SUM(Q34:U34)</f>
        <v>0</v>
      </c>
      <c r="Z34">
        <f t="shared" ref="Z34" si="31">SUM(V34:Y34)</f>
        <v>8730</v>
      </c>
      <c r="AA34" s="11">
        <f>Z34/20</f>
        <v>436.5</v>
      </c>
      <c r="AB34" s="12">
        <f>Z34/(AH34/110)/100</f>
        <v>6.2941600576784426E-2</v>
      </c>
      <c r="AC34">
        <v>19</v>
      </c>
      <c r="AD34">
        <f t="shared" ref="AD34" si="32">7300*AC34</f>
        <v>138700</v>
      </c>
      <c r="AF34">
        <f>AE34*5900</f>
        <v>0</v>
      </c>
      <c r="AG34">
        <f>AD34+AF34</f>
        <v>138700</v>
      </c>
      <c r="AH34">
        <f>(AG34*0.1)+AG34</f>
        <v>152570</v>
      </c>
      <c r="AI34" s="12"/>
      <c r="AJ34" s="12"/>
      <c r="AK34" s="13">
        <v>0</v>
      </c>
      <c r="AL34" s="13">
        <f t="shared" ref="AL34" si="33">AI34*0.05</f>
        <v>0</v>
      </c>
      <c r="AM34" s="13">
        <f t="shared" ref="AM34" si="34">AJ34*0.06</f>
        <v>0</v>
      </c>
      <c r="AN34" s="13">
        <v>0</v>
      </c>
      <c r="AO34" s="13">
        <f t="shared" ref="AO34" si="35">AK34+AL34+AM34-AN34</f>
        <v>0</v>
      </c>
      <c r="AP34">
        <f t="shared" ref="AP34" si="36">Z34-AG34</f>
        <v>-129970</v>
      </c>
    </row>
    <row r="35" spans="1:42" x14ac:dyDescent="0.3">
      <c r="A35" s="9" t="s">
        <v>47</v>
      </c>
      <c r="B35" s="10" t="s">
        <v>128</v>
      </c>
      <c r="C35" s="10">
        <v>9300</v>
      </c>
      <c r="D35" s="41">
        <v>8490</v>
      </c>
      <c r="E35" s="41">
        <v>6300</v>
      </c>
      <c r="F35" s="41">
        <v>6300</v>
      </c>
      <c r="G35" s="41">
        <v>6090</v>
      </c>
      <c r="H35" s="10">
        <v>8190</v>
      </c>
      <c r="I35" s="10">
        <v>8385</v>
      </c>
      <c r="J35" s="10">
        <v>7525</v>
      </c>
      <c r="K35" s="10">
        <v>7795</v>
      </c>
      <c r="L35" s="10">
        <v>7605</v>
      </c>
      <c r="M35" s="10">
        <v>8460</v>
      </c>
      <c r="N35">
        <v>8670</v>
      </c>
      <c r="O35" s="10">
        <v>7424</v>
      </c>
      <c r="P35" s="10">
        <v>7622</v>
      </c>
      <c r="Q35" s="10">
        <v>7750</v>
      </c>
      <c r="R35" s="10">
        <v>8570</v>
      </c>
      <c r="S35" s="10">
        <v>8768</v>
      </c>
      <c r="T35" s="10" t="s">
        <v>24</v>
      </c>
      <c r="U35" s="10" t="s">
        <v>31</v>
      </c>
      <c r="V35">
        <f t="shared" ref="V35:V45" si="37">SUM(B35:F35)</f>
        <v>30390</v>
      </c>
      <c r="W35">
        <f t="shared" ref="W35:W45" si="38">SUM(G35:K35)</f>
        <v>37985</v>
      </c>
      <c r="X35">
        <f t="shared" ref="X35:X44" si="39">SUM(L35:P35)</f>
        <v>39781</v>
      </c>
      <c r="Y35">
        <f t="shared" ref="Y35:Y45" si="40">SUM(Q35:U35)</f>
        <v>25088</v>
      </c>
      <c r="Z35">
        <f t="shared" ref="Z35:Z45" si="41">SUM(V35:Y35)</f>
        <v>133244</v>
      </c>
      <c r="AA35" s="11">
        <f>Z35/20</f>
        <v>6662.2</v>
      </c>
      <c r="AB35" s="12">
        <f>Z35/(AH35/110)/100</f>
        <v>1.0591732909379967</v>
      </c>
      <c r="AC35">
        <v>14</v>
      </c>
      <c r="AD35">
        <f t="shared" ref="AD35:AD44" si="42">7300*AC35</f>
        <v>102200</v>
      </c>
      <c r="AE35">
        <v>4</v>
      </c>
      <c r="AF35">
        <f>AE35*5900</f>
        <v>23600</v>
      </c>
      <c r="AG35">
        <f>AD35+AF35</f>
        <v>125800</v>
      </c>
      <c r="AH35">
        <f>(AG35*0.1)+AG35</f>
        <v>138380</v>
      </c>
      <c r="AI35">
        <f>Z35-AG35</f>
        <v>7444</v>
      </c>
      <c r="AK35" s="13">
        <v>1650</v>
      </c>
      <c r="AL35" s="13">
        <f t="shared" ref="AL35:AL45" si="43">AI35*0.05</f>
        <v>372.20000000000005</v>
      </c>
      <c r="AM35" s="13">
        <f t="shared" ref="AM35:AM45" si="44">AJ35*0.06</f>
        <v>0</v>
      </c>
      <c r="AN35" s="13">
        <v>0</v>
      </c>
      <c r="AO35" s="13">
        <f t="shared" ref="AO35:AO45" si="45">AK35+AL35+AM35-AN35</f>
        <v>2022.2</v>
      </c>
      <c r="AP35">
        <f t="shared" ref="AP35:AP45" si="46">Z35-AG35</f>
        <v>7444</v>
      </c>
    </row>
    <row r="36" spans="1:42" x14ac:dyDescent="0.3">
      <c r="A36" s="9" t="s">
        <v>20</v>
      </c>
      <c r="B36" s="10" t="s">
        <v>128</v>
      </c>
      <c r="C36" s="23" t="s">
        <v>48</v>
      </c>
      <c r="D36" s="41">
        <v>7680</v>
      </c>
      <c r="E36" s="41">
        <v>6610</v>
      </c>
      <c r="F36" s="41">
        <v>6000</v>
      </c>
      <c r="G36" s="41">
        <v>6450</v>
      </c>
      <c r="H36" s="23" t="s">
        <v>48</v>
      </c>
      <c r="I36" s="23" t="s">
        <v>48</v>
      </c>
      <c r="J36" s="23" t="s">
        <v>48</v>
      </c>
      <c r="K36" s="23" t="s">
        <v>48</v>
      </c>
      <c r="L36" s="23" t="s">
        <v>48</v>
      </c>
      <c r="M36" s="23" t="s">
        <v>48</v>
      </c>
      <c r="N36" s="23" t="s">
        <v>48</v>
      </c>
      <c r="O36" s="23" t="s">
        <v>48</v>
      </c>
      <c r="P36" s="23" t="s">
        <v>48</v>
      </c>
      <c r="Q36" s="10">
        <v>10158</v>
      </c>
      <c r="R36" s="10">
        <v>8864</v>
      </c>
      <c r="S36" s="10">
        <f>930+10500</f>
        <v>11430</v>
      </c>
      <c r="T36" s="10">
        <v>8930</v>
      </c>
      <c r="U36" s="10">
        <v>7410</v>
      </c>
      <c r="V36">
        <f t="shared" ref="V36:V38" si="47">SUM(B36:F36)</f>
        <v>20290</v>
      </c>
      <c r="W36">
        <f t="shared" ref="W36:W38" si="48">SUM(G36:K36)</f>
        <v>6450</v>
      </c>
      <c r="X36">
        <f t="shared" ref="X36:X38" si="49">SUM(L36:P36)</f>
        <v>0</v>
      </c>
      <c r="Y36">
        <f t="shared" ref="Y36:Y38" si="50">SUM(Q36:U36)</f>
        <v>46792</v>
      </c>
      <c r="Z36">
        <f t="shared" ref="Z36:Z38" si="51">SUM(V36:Y36)</f>
        <v>73532</v>
      </c>
      <c r="AA36" s="11">
        <f>Z36/9</f>
        <v>8170.2222222222226</v>
      </c>
      <c r="AB36" s="12">
        <f t="shared" ref="AB36:AB38" si="52">Z36/(AH36/110)/100</f>
        <v>1.1956422764227641</v>
      </c>
      <c r="AC36">
        <v>6</v>
      </c>
      <c r="AD36">
        <f t="shared" ref="AD36:AD38" si="53">7300*AC36</f>
        <v>43800</v>
      </c>
      <c r="AE36">
        <v>3</v>
      </c>
      <c r="AF36">
        <f t="shared" ref="AF36:AF38" si="54">AE36*5900</f>
        <v>17700</v>
      </c>
      <c r="AG36">
        <f t="shared" ref="AG36:AG38" si="55">AD36+AF36</f>
        <v>61500</v>
      </c>
      <c r="AH36">
        <f t="shared" ref="AH36:AH38" si="56">(AG36*0.1)+AG36</f>
        <v>67650</v>
      </c>
      <c r="AI36">
        <f>AH36-AG36</f>
        <v>6150</v>
      </c>
      <c r="AJ36">
        <f>Z36-AH36</f>
        <v>5882</v>
      </c>
      <c r="AK36" s="13">
        <v>1650</v>
      </c>
      <c r="AL36" s="13">
        <f t="shared" ref="AL36:AL40" si="57">AI36*0.05</f>
        <v>307.5</v>
      </c>
      <c r="AM36" s="13">
        <f t="shared" ref="AM36:AM40" si="58">AJ36*0.06</f>
        <v>352.91999999999996</v>
      </c>
      <c r="AN36" s="13">
        <v>0</v>
      </c>
      <c r="AO36" s="13">
        <f t="shared" ref="AO36:AO40" si="59">AK36+AL36+AM36-AN36</f>
        <v>2310.42</v>
      </c>
      <c r="AP36">
        <f t="shared" ref="AP36:AP40" si="60">Z36-AG36</f>
        <v>12032</v>
      </c>
    </row>
    <row r="37" spans="1:42" x14ac:dyDescent="0.3">
      <c r="A37" s="9" t="s">
        <v>21</v>
      </c>
      <c r="B37" s="10" t="s">
        <v>128</v>
      </c>
      <c r="C37" s="23" t="s">
        <v>48</v>
      </c>
      <c r="D37" s="23" t="s">
        <v>48</v>
      </c>
      <c r="E37" s="41">
        <v>5450</v>
      </c>
      <c r="F37" s="41">
        <v>3610</v>
      </c>
      <c r="G37" s="41">
        <v>5100</v>
      </c>
      <c r="H37" s="23" t="s">
        <v>48</v>
      </c>
      <c r="I37" s="23" t="s">
        <v>48</v>
      </c>
      <c r="J37" s="23" t="s">
        <v>48</v>
      </c>
      <c r="K37" s="23" t="s">
        <v>48</v>
      </c>
      <c r="L37" s="23" t="s">
        <v>48</v>
      </c>
      <c r="M37" s="23" t="s">
        <v>48</v>
      </c>
      <c r="N37" s="23" t="s">
        <v>48</v>
      </c>
      <c r="O37" s="23" t="s">
        <v>48</v>
      </c>
      <c r="P37" s="23" t="s">
        <v>48</v>
      </c>
      <c r="Q37" s="23" t="s">
        <v>48</v>
      </c>
      <c r="R37" s="23" t="s">
        <v>48</v>
      </c>
      <c r="S37" s="23" t="s">
        <v>48</v>
      </c>
      <c r="T37" s="23" t="s">
        <v>48</v>
      </c>
      <c r="U37" s="23" t="s">
        <v>48</v>
      </c>
      <c r="V37">
        <f t="shared" si="47"/>
        <v>9060</v>
      </c>
      <c r="W37">
        <f t="shared" si="48"/>
        <v>5100</v>
      </c>
      <c r="X37">
        <f t="shared" si="49"/>
        <v>0</v>
      </c>
      <c r="Y37">
        <f t="shared" si="50"/>
        <v>0</v>
      </c>
      <c r="Z37">
        <f t="shared" si="51"/>
        <v>14160</v>
      </c>
      <c r="AA37" s="11">
        <f t="shared" ref="AA37:AA38" si="61">Z37/20</f>
        <v>708</v>
      </c>
      <c r="AB37" s="12">
        <f t="shared" si="52"/>
        <v>0.10209084354722422</v>
      </c>
      <c r="AC37">
        <v>19</v>
      </c>
      <c r="AD37">
        <f t="shared" si="53"/>
        <v>138700</v>
      </c>
      <c r="AF37">
        <f t="shared" si="54"/>
        <v>0</v>
      </c>
      <c r="AG37">
        <f t="shared" si="55"/>
        <v>138700</v>
      </c>
      <c r="AH37">
        <f t="shared" si="56"/>
        <v>152570</v>
      </c>
      <c r="AK37" s="13">
        <v>0</v>
      </c>
      <c r="AL37" s="13">
        <f t="shared" si="57"/>
        <v>0</v>
      </c>
      <c r="AM37" s="13">
        <f t="shared" si="58"/>
        <v>0</v>
      </c>
      <c r="AN37" s="13">
        <v>0</v>
      </c>
      <c r="AO37" s="13">
        <f t="shared" si="59"/>
        <v>0</v>
      </c>
      <c r="AP37">
        <f t="shared" si="60"/>
        <v>-124540</v>
      </c>
    </row>
    <row r="38" spans="1:42" x14ac:dyDescent="0.3">
      <c r="A38" s="9" t="s">
        <v>139</v>
      </c>
      <c r="B38" s="10" t="s">
        <v>128</v>
      </c>
      <c r="C38" s="23" t="s">
        <v>140</v>
      </c>
      <c r="D38" s="23" t="s">
        <v>140</v>
      </c>
      <c r="E38" s="23" t="s">
        <v>140</v>
      </c>
      <c r="F38" s="23" t="s">
        <v>140</v>
      </c>
      <c r="G38" s="23" t="s">
        <v>140</v>
      </c>
      <c r="H38" s="23" t="s">
        <v>140</v>
      </c>
      <c r="I38" s="23" t="s">
        <v>140</v>
      </c>
      <c r="J38" s="23" t="s">
        <v>140</v>
      </c>
      <c r="K38" s="23" t="s">
        <v>140</v>
      </c>
      <c r="L38" s="10">
        <v>2880</v>
      </c>
      <c r="M38" s="23" t="s">
        <v>48</v>
      </c>
      <c r="N38" s="23" t="s">
        <v>48</v>
      </c>
      <c r="O38" s="23" t="s">
        <v>48</v>
      </c>
      <c r="P38" s="23" t="s">
        <v>48</v>
      </c>
      <c r="Q38" s="23" t="s">
        <v>48</v>
      </c>
      <c r="R38" s="23" t="s">
        <v>48</v>
      </c>
      <c r="S38" s="23" t="s">
        <v>48</v>
      </c>
      <c r="T38" s="23" t="s">
        <v>48</v>
      </c>
      <c r="U38" s="23" t="s">
        <v>48</v>
      </c>
      <c r="V38">
        <f t="shared" si="47"/>
        <v>0</v>
      </c>
      <c r="W38">
        <f t="shared" si="48"/>
        <v>0</v>
      </c>
      <c r="X38">
        <f t="shared" si="49"/>
        <v>2880</v>
      </c>
      <c r="Y38">
        <f t="shared" si="50"/>
        <v>0</v>
      </c>
      <c r="Z38">
        <f t="shared" si="51"/>
        <v>2880</v>
      </c>
      <c r="AA38" s="11">
        <f t="shared" si="61"/>
        <v>144</v>
      </c>
      <c r="AB38" s="12">
        <f t="shared" si="52"/>
        <v>2.0764239365537129E-2</v>
      </c>
      <c r="AC38">
        <v>19</v>
      </c>
      <c r="AD38">
        <f t="shared" si="53"/>
        <v>138700</v>
      </c>
      <c r="AF38">
        <f t="shared" si="54"/>
        <v>0</v>
      </c>
      <c r="AG38">
        <f t="shared" si="55"/>
        <v>138700</v>
      </c>
      <c r="AH38">
        <f t="shared" si="56"/>
        <v>152570</v>
      </c>
      <c r="AK38" s="13">
        <v>0</v>
      </c>
      <c r="AL38" s="13">
        <f t="shared" si="57"/>
        <v>0</v>
      </c>
      <c r="AM38" s="13">
        <f t="shared" si="58"/>
        <v>0</v>
      </c>
      <c r="AN38" s="13">
        <v>0</v>
      </c>
      <c r="AO38" s="13">
        <f t="shared" si="59"/>
        <v>0</v>
      </c>
      <c r="AP38">
        <f t="shared" si="60"/>
        <v>-135820</v>
      </c>
    </row>
    <row r="39" spans="1:42" x14ac:dyDescent="0.3">
      <c r="A39" s="9" t="s">
        <v>49</v>
      </c>
      <c r="B39" s="10" t="s">
        <v>128</v>
      </c>
      <c r="C39" s="10" t="s">
        <v>24</v>
      </c>
      <c r="D39" s="10" t="s">
        <v>24</v>
      </c>
      <c r="E39" s="10" t="s">
        <v>24</v>
      </c>
      <c r="F39" s="10" t="s">
        <v>24</v>
      </c>
      <c r="G39" s="10" t="s">
        <v>24</v>
      </c>
      <c r="H39" s="10">
        <v>7920</v>
      </c>
      <c r="I39" s="10">
        <v>8990</v>
      </c>
      <c r="J39" s="10">
        <v>8265</v>
      </c>
      <c r="K39" s="10">
        <v>8120</v>
      </c>
      <c r="L39" s="10">
        <v>8410</v>
      </c>
      <c r="M39" s="10">
        <v>8650</v>
      </c>
      <c r="N39">
        <v>9698</v>
      </c>
      <c r="O39" s="10">
        <v>9416</v>
      </c>
      <c r="P39" s="10">
        <v>8768</v>
      </c>
      <c r="Q39" s="10">
        <v>8180</v>
      </c>
      <c r="R39" s="10">
        <v>9216</v>
      </c>
      <c r="S39" s="10">
        <v>8352</v>
      </c>
      <c r="T39" s="10">
        <v>10146</v>
      </c>
      <c r="U39" s="10">
        <v>8460</v>
      </c>
      <c r="V39">
        <f t="shared" si="37"/>
        <v>0</v>
      </c>
      <c r="W39" s="10">
        <f t="shared" si="38"/>
        <v>33295</v>
      </c>
      <c r="X39">
        <f t="shared" si="39"/>
        <v>44942</v>
      </c>
      <c r="Y39">
        <f>SUM(Q39:U39)</f>
        <v>44354</v>
      </c>
      <c r="Z39">
        <f t="shared" si="41"/>
        <v>122591</v>
      </c>
      <c r="AA39" s="11">
        <f t="shared" ref="AA39:AA45" si="62">Z39/20</f>
        <v>6129.55</v>
      </c>
      <c r="AB39" s="12">
        <f>Z39/(AH39/110)/100</f>
        <v>1.1995205479452056</v>
      </c>
      <c r="AC39">
        <v>14</v>
      </c>
      <c r="AD39">
        <f t="shared" si="42"/>
        <v>102200</v>
      </c>
      <c r="AF39">
        <f t="shared" ref="AF39:AF45" si="63">AE39*5900</f>
        <v>0</v>
      </c>
      <c r="AG39">
        <f t="shared" ref="AG39:AG43" si="64">AD39+AF39</f>
        <v>102200</v>
      </c>
      <c r="AH39">
        <f t="shared" ref="AH39:AH44" si="65">(AG39*0.1)+AG39</f>
        <v>112420</v>
      </c>
      <c r="AI39">
        <f>AH39-AG39</f>
        <v>10220</v>
      </c>
      <c r="AJ39">
        <f>Z39-AH39</f>
        <v>10171</v>
      </c>
      <c r="AK39" s="13">
        <v>1650</v>
      </c>
      <c r="AL39" s="13">
        <f t="shared" si="57"/>
        <v>511</v>
      </c>
      <c r="AM39" s="13">
        <f t="shared" si="58"/>
        <v>610.26</v>
      </c>
      <c r="AN39" s="13">
        <v>0</v>
      </c>
      <c r="AO39" s="13">
        <f t="shared" si="59"/>
        <v>2771.26</v>
      </c>
      <c r="AP39">
        <f t="shared" si="60"/>
        <v>20391</v>
      </c>
    </row>
    <row r="40" spans="1:42" x14ac:dyDescent="0.3">
      <c r="A40" s="9" t="s">
        <v>50</v>
      </c>
      <c r="B40" s="10" t="s">
        <v>128</v>
      </c>
      <c r="C40" s="10" t="s">
        <v>24</v>
      </c>
      <c r="D40" s="10">
        <v>7860</v>
      </c>
      <c r="E40" s="41">
        <v>6000</v>
      </c>
      <c r="F40" s="41">
        <v>5700</v>
      </c>
      <c r="G40" s="41">
        <v>6000</v>
      </c>
      <c r="H40" s="10">
        <v>8220</v>
      </c>
      <c r="I40" s="10">
        <v>8610</v>
      </c>
      <c r="J40" s="10">
        <v>7735</v>
      </c>
      <c r="K40" s="10">
        <v>8315</v>
      </c>
      <c r="L40" s="10">
        <v>7115</v>
      </c>
      <c r="M40" s="10">
        <v>8990</v>
      </c>
      <c r="N40">
        <v>8830</v>
      </c>
      <c r="O40" s="10">
        <v>8626</v>
      </c>
      <c r="P40" s="10">
        <v>8316</v>
      </c>
      <c r="Q40" s="10" t="s">
        <v>24</v>
      </c>
      <c r="R40" s="10">
        <v>8282</v>
      </c>
      <c r="S40" s="10">
        <v>7468</v>
      </c>
      <c r="T40" s="10">
        <v>10158</v>
      </c>
      <c r="U40" s="10">
        <v>9286</v>
      </c>
      <c r="V40">
        <f t="shared" si="37"/>
        <v>19560</v>
      </c>
      <c r="W40" s="10">
        <f t="shared" si="38"/>
        <v>38880</v>
      </c>
      <c r="X40">
        <f>SUM(L40:P40)</f>
        <v>41877</v>
      </c>
      <c r="Y40">
        <f t="shared" si="40"/>
        <v>35194</v>
      </c>
      <c r="Z40">
        <f t="shared" si="41"/>
        <v>135511</v>
      </c>
      <c r="AA40" s="11">
        <f t="shared" si="62"/>
        <v>6775.55</v>
      </c>
      <c r="AB40" s="12">
        <f t="shared" ref="AB40:AB45" si="66">Z40/(AH40/110)/100</f>
        <v>1.1302001668056714</v>
      </c>
      <c r="AC40">
        <v>14</v>
      </c>
      <c r="AD40">
        <f t="shared" si="42"/>
        <v>102200</v>
      </c>
      <c r="AE40">
        <v>3</v>
      </c>
      <c r="AF40">
        <f t="shared" si="63"/>
        <v>17700</v>
      </c>
      <c r="AG40">
        <f t="shared" si="64"/>
        <v>119900</v>
      </c>
      <c r="AH40">
        <f t="shared" si="65"/>
        <v>131890</v>
      </c>
      <c r="AI40">
        <f>AH40-AG40</f>
        <v>11990</v>
      </c>
      <c r="AJ40">
        <f>Z40-AH40</f>
        <v>3621</v>
      </c>
      <c r="AK40" s="13">
        <v>1650</v>
      </c>
      <c r="AL40" s="13">
        <f t="shared" si="57"/>
        <v>599.5</v>
      </c>
      <c r="AM40" s="13">
        <f t="shared" si="58"/>
        <v>217.26</v>
      </c>
      <c r="AN40" s="13">
        <v>0</v>
      </c>
      <c r="AO40" s="13">
        <f t="shared" si="59"/>
        <v>2466.7600000000002</v>
      </c>
      <c r="AP40">
        <f t="shared" si="60"/>
        <v>15611</v>
      </c>
    </row>
    <row r="41" spans="1:42" x14ac:dyDescent="0.3">
      <c r="A41" s="9" t="s">
        <v>51</v>
      </c>
      <c r="B41" s="10" t="s">
        <v>128</v>
      </c>
      <c r="C41" s="10">
        <v>8460</v>
      </c>
      <c r="D41" s="41">
        <v>8160</v>
      </c>
      <c r="E41" s="41">
        <v>6000</v>
      </c>
      <c r="F41" s="41">
        <v>6000</v>
      </c>
      <c r="G41" s="41">
        <v>6000</v>
      </c>
      <c r="H41" s="10">
        <v>7410</v>
      </c>
      <c r="I41" s="10">
        <v>9060</v>
      </c>
      <c r="J41" s="10">
        <v>7845</v>
      </c>
      <c r="K41" s="10">
        <v>7700</v>
      </c>
      <c r="L41" s="10">
        <v>7700</v>
      </c>
      <c r="M41" s="10">
        <v>8710</v>
      </c>
      <c r="N41">
        <v>8496</v>
      </c>
      <c r="O41" s="10">
        <v>8382</v>
      </c>
      <c r="P41" s="10">
        <v>9425</v>
      </c>
      <c r="Q41" s="10">
        <v>7978</v>
      </c>
      <c r="R41" s="10">
        <v>8384</v>
      </c>
      <c r="S41" s="10">
        <v>9018</v>
      </c>
      <c r="T41" s="10">
        <v>8982</v>
      </c>
      <c r="U41" s="10">
        <v>8700</v>
      </c>
      <c r="V41">
        <f t="shared" si="37"/>
        <v>28620</v>
      </c>
      <c r="W41" s="10">
        <f t="shared" si="38"/>
        <v>38015</v>
      </c>
      <c r="X41" s="10">
        <f t="shared" si="39"/>
        <v>42713</v>
      </c>
      <c r="Y41">
        <f t="shared" si="40"/>
        <v>43062</v>
      </c>
      <c r="Z41">
        <f t="shared" si="41"/>
        <v>152410</v>
      </c>
      <c r="AA41" s="11">
        <f t="shared" si="62"/>
        <v>7620.5</v>
      </c>
      <c r="AB41" s="12">
        <f t="shared" si="66"/>
        <v>1.1450788880540947</v>
      </c>
      <c r="AC41">
        <v>15</v>
      </c>
      <c r="AD41">
        <f t="shared" si="42"/>
        <v>109500</v>
      </c>
      <c r="AE41">
        <v>4</v>
      </c>
      <c r="AF41">
        <f t="shared" si="63"/>
        <v>23600</v>
      </c>
      <c r="AG41">
        <f>AD41+AF41</f>
        <v>133100</v>
      </c>
      <c r="AH41">
        <f t="shared" si="65"/>
        <v>146410</v>
      </c>
      <c r="AI41">
        <f>AH41-AG41</f>
        <v>13310</v>
      </c>
      <c r="AJ41">
        <f>Z41-AH41</f>
        <v>6000</v>
      </c>
      <c r="AK41" s="13">
        <v>1650</v>
      </c>
      <c r="AL41" s="13">
        <f t="shared" si="43"/>
        <v>665.5</v>
      </c>
      <c r="AM41" s="13">
        <f t="shared" si="44"/>
        <v>360</v>
      </c>
      <c r="AN41" s="13">
        <v>0</v>
      </c>
      <c r="AO41" s="13">
        <f t="shared" si="45"/>
        <v>2675.5</v>
      </c>
      <c r="AP41">
        <f t="shared" si="46"/>
        <v>19310</v>
      </c>
    </row>
    <row r="42" spans="1:42" x14ac:dyDescent="0.3">
      <c r="A42" s="9" t="s">
        <v>52</v>
      </c>
      <c r="B42" s="10" t="s">
        <v>128</v>
      </c>
      <c r="C42" s="41">
        <v>8760</v>
      </c>
      <c r="D42" s="41">
        <v>9360</v>
      </c>
      <c r="E42" s="41">
        <v>6900</v>
      </c>
      <c r="F42" s="41">
        <v>7500</v>
      </c>
      <c r="G42" s="41">
        <v>6300</v>
      </c>
      <c r="H42" s="10">
        <v>8970</v>
      </c>
      <c r="I42" s="10">
        <v>9060</v>
      </c>
      <c r="J42" s="10">
        <v>8480</v>
      </c>
      <c r="K42" s="10">
        <v>8770</v>
      </c>
      <c r="L42" s="10">
        <v>8190</v>
      </c>
      <c r="M42" s="10">
        <v>9080</v>
      </c>
      <c r="N42">
        <v>7550</v>
      </c>
      <c r="O42" s="10">
        <v>8710</v>
      </c>
      <c r="P42" s="10">
        <v>8496</v>
      </c>
      <c r="Q42" s="10">
        <v>7990</v>
      </c>
      <c r="R42" s="10">
        <v>8694</v>
      </c>
      <c r="S42" s="10">
        <v>8636</v>
      </c>
      <c r="T42" s="10">
        <v>9994</v>
      </c>
      <c r="U42" s="10">
        <v>7932</v>
      </c>
      <c r="V42">
        <f t="shared" si="37"/>
        <v>32520</v>
      </c>
      <c r="W42">
        <f t="shared" si="38"/>
        <v>41580</v>
      </c>
      <c r="X42">
        <f t="shared" si="39"/>
        <v>42026</v>
      </c>
      <c r="Y42">
        <f t="shared" si="40"/>
        <v>43246</v>
      </c>
      <c r="Z42">
        <f t="shared" si="41"/>
        <v>159372</v>
      </c>
      <c r="AA42" s="11">
        <f t="shared" si="62"/>
        <v>7968.6</v>
      </c>
      <c r="AB42" s="12">
        <f t="shared" si="66"/>
        <v>1.210113895216401</v>
      </c>
      <c r="AC42">
        <v>14</v>
      </c>
      <c r="AD42">
        <f t="shared" si="42"/>
        <v>102200</v>
      </c>
      <c r="AE42">
        <v>5</v>
      </c>
      <c r="AF42">
        <f t="shared" si="63"/>
        <v>29500</v>
      </c>
      <c r="AG42">
        <f>AD42+AF42</f>
        <v>131700</v>
      </c>
      <c r="AH42">
        <f t="shared" si="65"/>
        <v>144870</v>
      </c>
      <c r="AI42">
        <f>AH42-AG42</f>
        <v>13170</v>
      </c>
      <c r="AJ42">
        <f>Z42-AH42</f>
        <v>14502</v>
      </c>
      <c r="AK42" s="13">
        <v>1650</v>
      </c>
      <c r="AL42" s="13">
        <f t="shared" si="43"/>
        <v>658.5</v>
      </c>
      <c r="AM42" s="13">
        <f t="shared" si="44"/>
        <v>870.12</v>
      </c>
      <c r="AN42" s="13">
        <v>0</v>
      </c>
      <c r="AO42" s="13">
        <f t="shared" si="45"/>
        <v>3178.62</v>
      </c>
      <c r="AP42">
        <f t="shared" si="46"/>
        <v>27672</v>
      </c>
    </row>
    <row r="43" spans="1:42" x14ac:dyDescent="0.3">
      <c r="A43" s="9" t="s">
        <v>53</v>
      </c>
      <c r="B43" s="10" t="s">
        <v>128</v>
      </c>
      <c r="C43" s="10">
        <v>8520</v>
      </c>
      <c r="D43" s="10">
        <v>8160</v>
      </c>
      <c r="E43" s="41">
        <v>6000</v>
      </c>
      <c r="F43" s="41">
        <v>6000</v>
      </c>
      <c r="G43" s="41">
        <v>5790</v>
      </c>
      <c r="H43" s="10">
        <v>8190</v>
      </c>
      <c r="I43" s="10">
        <v>8385</v>
      </c>
      <c r="J43" s="10">
        <v>7720</v>
      </c>
      <c r="K43" s="10">
        <v>7410</v>
      </c>
      <c r="L43" s="10">
        <v>7990</v>
      </c>
      <c r="M43" s="10">
        <v>8310</v>
      </c>
      <c r="N43">
        <v>7774</v>
      </c>
      <c r="O43" s="10">
        <v>7666</v>
      </c>
      <c r="P43" s="10">
        <v>7188</v>
      </c>
      <c r="Q43" s="10">
        <v>7750</v>
      </c>
      <c r="R43" s="10">
        <v>8088</v>
      </c>
      <c r="S43" s="10">
        <v>8370</v>
      </c>
      <c r="T43" s="10">
        <v>8958</v>
      </c>
      <c r="U43" s="10">
        <v>8690</v>
      </c>
      <c r="V43">
        <f t="shared" si="37"/>
        <v>28680</v>
      </c>
      <c r="W43">
        <f t="shared" si="38"/>
        <v>37495</v>
      </c>
      <c r="X43">
        <f t="shared" si="39"/>
        <v>38928</v>
      </c>
      <c r="Y43">
        <f t="shared" si="40"/>
        <v>41856</v>
      </c>
      <c r="Z43">
        <f t="shared" si="41"/>
        <v>146959</v>
      </c>
      <c r="AA43" s="11">
        <f t="shared" si="62"/>
        <v>7347.95</v>
      </c>
      <c r="AB43" s="12">
        <f t="shared" si="66"/>
        <v>1.0926319702602232</v>
      </c>
      <c r="AC43">
        <v>16</v>
      </c>
      <c r="AD43">
        <f t="shared" si="42"/>
        <v>116800</v>
      </c>
      <c r="AE43">
        <v>3</v>
      </c>
      <c r="AF43">
        <f t="shared" si="63"/>
        <v>17700</v>
      </c>
      <c r="AG43">
        <f t="shared" si="64"/>
        <v>134500</v>
      </c>
      <c r="AH43">
        <f t="shared" si="65"/>
        <v>147950</v>
      </c>
      <c r="AI43">
        <f>Z43-AG43</f>
        <v>12459</v>
      </c>
      <c r="AK43" s="13">
        <v>1650</v>
      </c>
      <c r="AL43" s="13">
        <f t="shared" si="43"/>
        <v>622.95000000000005</v>
      </c>
      <c r="AM43" s="13">
        <f t="shared" si="44"/>
        <v>0</v>
      </c>
      <c r="AN43" s="13">
        <v>0</v>
      </c>
      <c r="AO43" s="13">
        <f t="shared" si="45"/>
        <v>2272.9499999999998</v>
      </c>
      <c r="AP43">
        <f t="shared" si="46"/>
        <v>12459</v>
      </c>
    </row>
    <row r="44" spans="1:42" x14ac:dyDescent="0.3">
      <c r="A44" s="9" t="s">
        <v>54</v>
      </c>
      <c r="B44" s="10" t="s">
        <v>128</v>
      </c>
      <c r="C44" s="41">
        <v>8730</v>
      </c>
      <c r="D44" s="41">
        <v>8670</v>
      </c>
      <c r="E44" s="41">
        <v>6300</v>
      </c>
      <c r="F44" s="41">
        <v>6300</v>
      </c>
      <c r="G44" s="41">
        <v>6300</v>
      </c>
      <c r="H44" s="10">
        <v>8220</v>
      </c>
      <c r="I44" s="10">
        <v>8820</v>
      </c>
      <c r="J44" s="10">
        <v>8370</v>
      </c>
      <c r="K44" s="10">
        <v>7750</v>
      </c>
      <c r="L44" s="10">
        <v>8060</v>
      </c>
      <c r="M44" s="10" t="s">
        <v>24</v>
      </c>
      <c r="N44">
        <v>8910</v>
      </c>
      <c r="O44" s="10">
        <v>9260</v>
      </c>
      <c r="P44" s="10">
        <v>9208</v>
      </c>
      <c r="Q44" s="10">
        <v>9050</v>
      </c>
      <c r="R44" s="10">
        <v>9014</v>
      </c>
      <c r="S44" s="10">
        <v>9172</v>
      </c>
      <c r="T44" s="10">
        <v>9216</v>
      </c>
      <c r="U44" s="10">
        <v>8468</v>
      </c>
      <c r="V44">
        <f t="shared" si="37"/>
        <v>30000</v>
      </c>
      <c r="W44">
        <f t="shared" si="38"/>
        <v>39460</v>
      </c>
      <c r="X44">
        <f t="shared" si="39"/>
        <v>35438</v>
      </c>
      <c r="Y44">
        <f>SUM(Q44:U44)</f>
        <v>44920</v>
      </c>
      <c r="Z44">
        <f t="shared" si="41"/>
        <v>149818</v>
      </c>
      <c r="AA44" s="11">
        <f t="shared" si="62"/>
        <v>7490.9</v>
      </c>
      <c r="AB44" s="12">
        <f t="shared" si="66"/>
        <v>1.2043247588424437</v>
      </c>
      <c r="AC44">
        <v>13</v>
      </c>
      <c r="AD44">
        <f t="shared" si="42"/>
        <v>94900</v>
      </c>
      <c r="AE44">
        <v>5</v>
      </c>
      <c r="AF44">
        <f t="shared" si="63"/>
        <v>29500</v>
      </c>
      <c r="AG44">
        <f>AD44+AF44</f>
        <v>124400</v>
      </c>
      <c r="AH44">
        <f t="shared" si="65"/>
        <v>136840</v>
      </c>
      <c r="AI44">
        <f>AH44-AG44</f>
        <v>12440</v>
      </c>
      <c r="AJ44">
        <f>Z44-AH44</f>
        <v>12978</v>
      </c>
      <c r="AK44" s="13">
        <v>1650</v>
      </c>
      <c r="AL44" s="13">
        <f t="shared" si="43"/>
        <v>622</v>
      </c>
      <c r="AM44" s="13">
        <f t="shared" si="44"/>
        <v>778.68</v>
      </c>
      <c r="AN44" s="13">
        <v>0</v>
      </c>
      <c r="AO44" s="13">
        <f t="shared" si="45"/>
        <v>3050.68</v>
      </c>
      <c r="AP44">
        <f t="shared" si="46"/>
        <v>25418</v>
      </c>
    </row>
    <row r="45" spans="1:42" x14ac:dyDescent="0.3">
      <c r="A45" s="9" t="s">
        <v>55</v>
      </c>
      <c r="B45" s="10" t="s">
        <v>128</v>
      </c>
      <c r="C45" s="41">
        <v>7200</v>
      </c>
      <c r="D45" s="41">
        <v>8190</v>
      </c>
      <c r="E45" s="41">
        <v>6000</v>
      </c>
      <c r="F45" s="41">
        <v>6000</v>
      </c>
      <c r="G45" s="41">
        <v>5820</v>
      </c>
      <c r="H45" s="10">
        <v>7950</v>
      </c>
      <c r="I45" s="10">
        <v>8480</v>
      </c>
      <c r="J45" s="10">
        <v>7830</v>
      </c>
      <c r="K45" s="10">
        <v>7540</v>
      </c>
      <c r="L45" s="10">
        <v>8120</v>
      </c>
      <c r="M45" s="10">
        <v>9010</v>
      </c>
      <c r="N45">
        <v>8794</v>
      </c>
      <c r="O45" s="10">
        <v>8836</v>
      </c>
      <c r="P45" s="10">
        <v>9425</v>
      </c>
      <c r="Q45" s="10">
        <v>8182</v>
      </c>
      <c r="R45" s="10" t="s">
        <v>24</v>
      </c>
      <c r="S45" s="10" t="s">
        <v>24</v>
      </c>
      <c r="T45" s="10" t="s">
        <v>24</v>
      </c>
      <c r="U45" s="10">
        <v>8352</v>
      </c>
      <c r="V45" s="10">
        <f t="shared" si="37"/>
        <v>27390</v>
      </c>
      <c r="W45">
        <f t="shared" si="38"/>
        <v>37620</v>
      </c>
      <c r="X45">
        <f>SUM(L45:P45)</f>
        <v>44185</v>
      </c>
      <c r="Y45">
        <f t="shared" si="40"/>
        <v>16534</v>
      </c>
      <c r="Z45">
        <f t="shared" si="41"/>
        <v>125729</v>
      </c>
      <c r="AA45" s="11">
        <f t="shared" si="62"/>
        <v>6286.45</v>
      </c>
      <c r="AB45" s="12">
        <f t="shared" si="66"/>
        <v>1.1450728597449908</v>
      </c>
      <c r="AC45">
        <v>11</v>
      </c>
      <c r="AD45">
        <f>7300*AC45</f>
        <v>80300</v>
      </c>
      <c r="AE45">
        <v>5</v>
      </c>
      <c r="AF45">
        <f t="shared" si="63"/>
        <v>29500</v>
      </c>
      <c r="AG45">
        <f>AD45+AF45</f>
        <v>109800</v>
      </c>
      <c r="AH45">
        <f>(AG45*0.1)+AG45</f>
        <v>120780</v>
      </c>
      <c r="AI45">
        <f>AH45-AG45</f>
        <v>10980</v>
      </c>
      <c r="AJ45">
        <f>Z45-AH45</f>
        <v>4949</v>
      </c>
      <c r="AK45" s="13">
        <v>1650</v>
      </c>
      <c r="AL45" s="13">
        <f t="shared" si="43"/>
        <v>549</v>
      </c>
      <c r="AM45" s="13">
        <f t="shared" si="44"/>
        <v>296.94</v>
      </c>
      <c r="AN45" s="13">
        <v>0</v>
      </c>
      <c r="AO45" s="13">
        <f t="shared" si="45"/>
        <v>2495.94</v>
      </c>
      <c r="AP45">
        <f t="shared" si="46"/>
        <v>15929</v>
      </c>
    </row>
    <row r="46" spans="1:42" x14ac:dyDescent="0.3">
      <c r="A46" s="9"/>
    </row>
    <row r="47" spans="1:42" s="1" customFormat="1" ht="45" customHeight="1" x14ac:dyDescent="0.3">
      <c r="B47" s="48" t="s">
        <v>68</v>
      </c>
      <c r="C47" s="48"/>
      <c r="D47" s="48"/>
      <c r="E47" s="48"/>
      <c r="F47" s="48"/>
      <c r="G47" s="49" t="s">
        <v>69</v>
      </c>
      <c r="H47" s="49"/>
      <c r="I47" s="49"/>
      <c r="J47" s="49"/>
      <c r="K47" s="49"/>
      <c r="L47" s="48" t="s">
        <v>70</v>
      </c>
      <c r="M47" s="48"/>
      <c r="N47" s="48"/>
      <c r="O47" s="48"/>
      <c r="P47" s="48"/>
      <c r="Q47" s="49" t="s">
        <v>144</v>
      </c>
      <c r="R47" s="49"/>
      <c r="S47" s="49"/>
      <c r="T47" s="49"/>
      <c r="U47" s="49"/>
      <c r="V47" s="50" t="s">
        <v>0</v>
      </c>
      <c r="W47" s="50"/>
      <c r="X47" s="50"/>
      <c r="Y47" s="50"/>
      <c r="Z47" s="51" t="s">
        <v>1</v>
      </c>
      <c r="AA47" s="52" t="s">
        <v>2</v>
      </c>
      <c r="AB47" s="52"/>
      <c r="AC47" s="53" t="s">
        <v>3</v>
      </c>
      <c r="AD47" s="53"/>
      <c r="AE47" s="53"/>
      <c r="AF47" s="53"/>
      <c r="AG47" s="52" t="s">
        <v>4</v>
      </c>
      <c r="AH47" s="52"/>
      <c r="AI47" s="54" t="s">
        <v>5</v>
      </c>
      <c r="AJ47" s="54"/>
      <c r="AK47" s="55" t="s">
        <v>6</v>
      </c>
      <c r="AL47" s="55"/>
      <c r="AM47" s="55"/>
      <c r="AN47" s="55"/>
      <c r="AO47" s="55"/>
      <c r="AP47" s="47" t="s">
        <v>7</v>
      </c>
    </row>
    <row r="48" spans="1:42" ht="15.6" x14ac:dyDescent="0.3">
      <c r="A48" s="2" t="s">
        <v>56</v>
      </c>
      <c r="B48" s="3">
        <v>46115</v>
      </c>
      <c r="C48" s="3">
        <v>46118</v>
      </c>
      <c r="D48" s="3">
        <v>46119</v>
      </c>
      <c r="E48" s="3">
        <v>46120</v>
      </c>
      <c r="F48" s="3">
        <v>46121</v>
      </c>
      <c r="G48" s="25">
        <v>46122</v>
      </c>
      <c r="H48" s="25">
        <v>46125</v>
      </c>
      <c r="I48" s="25">
        <v>46126</v>
      </c>
      <c r="J48" s="25">
        <v>46127</v>
      </c>
      <c r="K48" s="25">
        <v>46128</v>
      </c>
      <c r="L48" s="3">
        <v>46129</v>
      </c>
      <c r="M48" s="3">
        <v>46132</v>
      </c>
      <c r="N48" s="3">
        <v>46133</v>
      </c>
      <c r="O48" s="3">
        <v>46134</v>
      </c>
      <c r="P48" s="3">
        <v>46135</v>
      </c>
      <c r="Q48" s="25">
        <v>46136</v>
      </c>
      <c r="R48" s="25">
        <v>46139</v>
      </c>
      <c r="S48" s="25">
        <v>46140</v>
      </c>
      <c r="T48" s="25">
        <v>46141</v>
      </c>
      <c r="U48" s="25">
        <v>46142</v>
      </c>
      <c r="V48" s="24" t="s">
        <v>68</v>
      </c>
      <c r="W48" s="24" t="s">
        <v>69</v>
      </c>
      <c r="X48" s="24" t="s">
        <v>70</v>
      </c>
      <c r="Y48" s="24" t="s">
        <v>144</v>
      </c>
      <c r="Z48" s="51"/>
      <c r="AA48" s="4" t="s">
        <v>9</v>
      </c>
      <c r="AB48" s="4" t="s">
        <v>10</v>
      </c>
      <c r="AC48" s="5" t="s">
        <v>57</v>
      </c>
      <c r="AD48" s="5" t="s">
        <v>58</v>
      </c>
      <c r="AE48" s="5"/>
      <c r="AF48" s="5"/>
      <c r="AG48" s="6">
        <v>1</v>
      </c>
      <c r="AH48" s="6">
        <v>1.1000000000000001</v>
      </c>
      <c r="AI48" s="7">
        <v>1</v>
      </c>
      <c r="AJ48" s="7">
        <v>1.1000000000000001</v>
      </c>
      <c r="AK48" s="8" t="s">
        <v>14</v>
      </c>
      <c r="AL48" s="8" t="s">
        <v>15</v>
      </c>
      <c r="AM48" s="8" t="s">
        <v>16</v>
      </c>
      <c r="AN48" s="8" t="s">
        <v>17</v>
      </c>
      <c r="AO48" s="8" t="s">
        <v>18</v>
      </c>
      <c r="AP48" s="47"/>
    </row>
    <row r="49" spans="1:42" x14ac:dyDescent="0.3">
      <c r="A49" s="9" t="s">
        <v>59</v>
      </c>
      <c r="B49" t="s">
        <v>128</v>
      </c>
      <c r="C49">
        <v>68</v>
      </c>
      <c r="D49">
        <v>44</v>
      </c>
      <c r="E49">
        <v>41</v>
      </c>
      <c r="F49">
        <v>45</v>
      </c>
      <c r="G49">
        <v>43</v>
      </c>
      <c r="H49" s="10">
        <v>49</v>
      </c>
      <c r="I49">
        <v>20</v>
      </c>
      <c r="J49">
        <v>40</v>
      </c>
      <c r="K49">
        <v>69</v>
      </c>
      <c r="L49">
        <v>41</v>
      </c>
      <c r="M49">
        <v>9</v>
      </c>
      <c r="N49">
        <v>7</v>
      </c>
      <c r="O49">
        <v>34</v>
      </c>
      <c r="P49">
        <v>37</v>
      </c>
      <c r="Q49">
        <v>41</v>
      </c>
      <c r="R49">
        <v>16</v>
      </c>
      <c r="S49">
        <v>51</v>
      </c>
      <c r="T49">
        <v>45</v>
      </c>
      <c r="U49" s="10">
        <v>28</v>
      </c>
      <c r="V49">
        <f>SUM(B49:I49)</f>
        <v>310</v>
      </c>
      <c r="W49">
        <f>SUM(G49:K49)</f>
        <v>221</v>
      </c>
      <c r="X49">
        <f>SUM(L49:P49)</f>
        <v>128</v>
      </c>
      <c r="Y49">
        <f>SUM(Q49:U49)</f>
        <v>181</v>
      </c>
      <c r="Z49">
        <f>SUM(V49:Y49)</f>
        <v>840</v>
      </c>
      <c r="AA49" s="11">
        <f>Z49/18</f>
        <v>46.666666666666664</v>
      </c>
      <c r="AB49" s="16">
        <f>AA49/75</f>
        <v>0.62222222222222223</v>
      </c>
      <c r="AC49">
        <v>19</v>
      </c>
      <c r="AD49">
        <f>AC49*59</f>
        <v>1121</v>
      </c>
      <c r="AG49">
        <f>AD49+AF49</f>
        <v>1121</v>
      </c>
      <c r="AH49" t="s">
        <v>60</v>
      </c>
      <c r="AK49" s="13">
        <v>0</v>
      </c>
      <c r="AL49" s="17">
        <v>0</v>
      </c>
      <c r="AM49" s="17"/>
      <c r="AN49" s="17">
        <v>0</v>
      </c>
      <c r="AO49" s="13">
        <f>AK49+AL49+AM49-AN49</f>
        <v>0</v>
      </c>
      <c r="AP49">
        <f>Z49-AG49</f>
        <v>-281</v>
      </c>
    </row>
    <row r="50" spans="1:42" x14ac:dyDescent="0.3">
      <c r="A50" s="9" t="s">
        <v>38</v>
      </c>
      <c r="B50" t="s">
        <v>128</v>
      </c>
      <c r="C50" t="s">
        <v>31</v>
      </c>
      <c r="D50">
        <v>33</v>
      </c>
      <c r="E50">
        <v>37</v>
      </c>
      <c r="F50">
        <v>47</v>
      </c>
      <c r="G50">
        <v>43</v>
      </c>
      <c r="H50" s="10">
        <v>38</v>
      </c>
      <c r="I50">
        <v>18</v>
      </c>
      <c r="J50">
        <v>37</v>
      </c>
      <c r="K50" t="s">
        <v>48</v>
      </c>
      <c r="L50" t="s">
        <v>48</v>
      </c>
      <c r="M50" t="s">
        <v>48</v>
      </c>
      <c r="N50">
        <v>3</v>
      </c>
      <c r="O50">
        <v>33</v>
      </c>
      <c r="P50">
        <v>38</v>
      </c>
      <c r="Q50" t="s">
        <v>31</v>
      </c>
      <c r="R50" s="10">
        <v>46</v>
      </c>
      <c r="S50">
        <v>48</v>
      </c>
      <c r="T50">
        <v>38</v>
      </c>
      <c r="U50" s="10">
        <v>29</v>
      </c>
      <c r="V50">
        <f>SUM(B50:J50)</f>
        <v>253</v>
      </c>
      <c r="W50">
        <f>SUM(G50:K50)</f>
        <v>136</v>
      </c>
      <c r="X50">
        <f>SUM(L50:P50)</f>
        <v>74</v>
      </c>
      <c r="Y50">
        <f>SUM(Q50:U50)</f>
        <v>161</v>
      </c>
      <c r="Z50">
        <f>SUM(V50:Y50)</f>
        <v>624</v>
      </c>
      <c r="AA50" s="11">
        <f>Z50/20</f>
        <v>31.2</v>
      </c>
      <c r="AB50" s="16">
        <f>AA50/58</f>
        <v>0.53793103448275859</v>
      </c>
      <c r="AC50">
        <v>19</v>
      </c>
      <c r="AD50">
        <f>AC50*59</f>
        <v>1121</v>
      </c>
      <c r="AG50">
        <f>AD50+AF50</f>
        <v>1121</v>
      </c>
      <c r="AH50" t="s">
        <v>60</v>
      </c>
      <c r="AK50" s="13">
        <v>0</v>
      </c>
      <c r="AL50" s="17">
        <v>0</v>
      </c>
      <c r="AM50" s="17"/>
      <c r="AN50" s="17">
        <v>0</v>
      </c>
      <c r="AO50" s="13">
        <f>AK50+AL50+AM50-AN50</f>
        <v>0</v>
      </c>
      <c r="AP50">
        <f t="shared" ref="AP50" si="67">Z50-AG50</f>
        <v>-497</v>
      </c>
    </row>
    <row r="51" spans="1:42" x14ac:dyDescent="0.3">
      <c r="A51" s="9"/>
      <c r="R51" s="10"/>
    </row>
    <row r="52" spans="1:42" s="1" customFormat="1" ht="45" customHeight="1" x14ac:dyDescent="0.3">
      <c r="B52" s="48" t="s">
        <v>68</v>
      </c>
      <c r="C52" s="48"/>
      <c r="D52" s="48"/>
      <c r="E52" s="48"/>
      <c r="F52" s="48"/>
      <c r="G52" s="49" t="s">
        <v>69</v>
      </c>
      <c r="H52" s="49"/>
      <c r="I52" s="49"/>
      <c r="J52" s="49"/>
      <c r="K52" s="49"/>
      <c r="L52" s="48" t="s">
        <v>70</v>
      </c>
      <c r="M52" s="48"/>
      <c r="N52" s="48"/>
      <c r="O52" s="48"/>
      <c r="P52" s="48"/>
      <c r="Q52" s="49" t="s">
        <v>144</v>
      </c>
      <c r="R52" s="49"/>
      <c r="S52" s="49"/>
      <c r="T52" s="49"/>
      <c r="U52" s="49"/>
      <c r="V52" s="50" t="s">
        <v>0</v>
      </c>
      <c r="W52" s="50"/>
      <c r="X52" s="50"/>
      <c r="Y52" s="50"/>
      <c r="Z52" s="51" t="s">
        <v>1</v>
      </c>
      <c r="AA52" s="52" t="s">
        <v>2</v>
      </c>
      <c r="AB52" s="52"/>
      <c r="AC52" s="53" t="s">
        <v>3</v>
      </c>
      <c r="AD52" s="53"/>
      <c r="AE52" s="53"/>
      <c r="AF52" s="53"/>
      <c r="AG52" s="52" t="s">
        <v>4</v>
      </c>
      <c r="AH52" s="52"/>
      <c r="AI52" s="54" t="s">
        <v>5</v>
      </c>
      <c r="AJ52" s="54"/>
      <c r="AK52" s="55" t="s">
        <v>6</v>
      </c>
      <c r="AL52" s="55"/>
      <c r="AM52" s="55"/>
      <c r="AN52" s="55"/>
      <c r="AO52" s="55"/>
      <c r="AP52" s="47" t="s">
        <v>7</v>
      </c>
    </row>
    <row r="53" spans="1:42" ht="15.6" x14ac:dyDescent="0.3">
      <c r="A53" s="2" t="s">
        <v>61</v>
      </c>
      <c r="B53" s="3">
        <v>46115</v>
      </c>
      <c r="C53" s="3">
        <v>46118</v>
      </c>
      <c r="D53" s="3">
        <v>46119</v>
      </c>
      <c r="E53" s="3">
        <v>46120</v>
      </c>
      <c r="F53" s="3">
        <v>46121</v>
      </c>
      <c r="G53" s="25">
        <v>46122</v>
      </c>
      <c r="H53" s="25">
        <v>46125</v>
      </c>
      <c r="I53" s="25">
        <v>46126</v>
      </c>
      <c r="J53" s="25">
        <v>46127</v>
      </c>
      <c r="K53" s="25">
        <v>46128</v>
      </c>
      <c r="L53" s="3">
        <v>46129</v>
      </c>
      <c r="M53" s="3">
        <v>46132</v>
      </c>
      <c r="N53" s="3">
        <v>46133</v>
      </c>
      <c r="O53" s="3">
        <v>46134</v>
      </c>
      <c r="P53" s="3">
        <v>46135</v>
      </c>
      <c r="Q53" s="25">
        <v>46136</v>
      </c>
      <c r="R53" s="25">
        <v>46139</v>
      </c>
      <c r="S53" s="25">
        <v>46140</v>
      </c>
      <c r="T53" s="25">
        <v>46141</v>
      </c>
      <c r="U53" s="25">
        <v>46142</v>
      </c>
      <c r="V53" s="24" t="s">
        <v>68</v>
      </c>
      <c r="W53" s="24" t="s">
        <v>69</v>
      </c>
      <c r="X53" s="24" t="s">
        <v>70</v>
      </c>
      <c r="Y53" s="24" t="s">
        <v>144</v>
      </c>
      <c r="Z53" s="51"/>
      <c r="AA53" s="4" t="s">
        <v>9</v>
      </c>
      <c r="AB53" s="4" t="s">
        <v>10</v>
      </c>
      <c r="AC53" s="5" t="s">
        <v>62</v>
      </c>
      <c r="AD53" s="5" t="s">
        <v>58</v>
      </c>
      <c r="AE53" s="5" t="s">
        <v>63</v>
      </c>
      <c r="AF53" s="5" t="s">
        <v>58</v>
      </c>
      <c r="AG53" s="6">
        <v>1</v>
      </c>
      <c r="AH53" s="6">
        <v>1.1000000000000001</v>
      </c>
      <c r="AI53" s="7">
        <v>1</v>
      </c>
      <c r="AJ53" s="7">
        <v>1.1000000000000001</v>
      </c>
      <c r="AK53" s="8" t="s">
        <v>14</v>
      </c>
      <c r="AL53" s="8" t="s">
        <v>15</v>
      </c>
      <c r="AM53" s="8" t="s">
        <v>16</v>
      </c>
      <c r="AN53" s="8" t="s">
        <v>17</v>
      </c>
      <c r="AO53" s="8" t="s">
        <v>18</v>
      </c>
      <c r="AP53" s="47"/>
    </row>
    <row r="54" spans="1:42" ht="15.6" x14ac:dyDescent="0.3">
      <c r="A54" s="9" t="s">
        <v>64</v>
      </c>
      <c r="B54" t="s">
        <v>128</v>
      </c>
      <c r="C54" t="s">
        <v>130</v>
      </c>
      <c r="D54" t="s">
        <v>130</v>
      </c>
      <c r="E54" t="s">
        <v>130</v>
      </c>
      <c r="F54" t="s">
        <v>130</v>
      </c>
      <c r="G54" t="s">
        <v>130</v>
      </c>
      <c r="H54" t="s">
        <v>130</v>
      </c>
      <c r="I54" t="s">
        <v>130</v>
      </c>
      <c r="J54" t="s">
        <v>130</v>
      </c>
      <c r="K54" t="s">
        <v>130</v>
      </c>
      <c r="L54" t="s">
        <v>130</v>
      </c>
      <c r="M54" s="19">
        <v>9</v>
      </c>
      <c r="N54" s="19">
        <v>8</v>
      </c>
      <c r="O54" s="19">
        <v>9</v>
      </c>
      <c r="P54" s="19">
        <v>9</v>
      </c>
      <c r="Q54" s="19">
        <v>9</v>
      </c>
      <c r="R54" s="10" t="s">
        <v>24</v>
      </c>
      <c r="S54" s="19">
        <v>9</v>
      </c>
      <c r="T54" s="19">
        <v>9</v>
      </c>
      <c r="U54" s="19">
        <v>9</v>
      </c>
      <c r="V54">
        <f>SUM(B54:G54)</f>
        <v>0</v>
      </c>
      <c r="W54">
        <f>SUM(B54:F54)</f>
        <v>0</v>
      </c>
      <c r="X54" s="10">
        <f>SUM(G54:K54)</f>
        <v>0</v>
      </c>
      <c r="Y54" s="10">
        <f>SUM(L54:P54)</f>
        <v>35</v>
      </c>
      <c r="Z54" s="10">
        <f>SUM(Q54:U54)</f>
        <v>36</v>
      </c>
      <c r="AA54">
        <f>SUM(W54:Z54)</f>
        <v>71</v>
      </c>
      <c r="AB54" s="11">
        <f>AA54/19</f>
        <v>3.736842105263158</v>
      </c>
      <c r="AC54" s="12">
        <f>AB54/9</f>
        <v>0.41520467836257313</v>
      </c>
      <c r="AK54" s="13">
        <v>0</v>
      </c>
      <c r="AL54" s="13">
        <v>0</v>
      </c>
      <c r="AM54" s="13">
        <f t="shared" ref="AM54:AM56" si="68">AJ54*11.8</f>
        <v>0</v>
      </c>
      <c r="AN54" s="13">
        <v>0</v>
      </c>
      <c r="AO54" s="13">
        <f>AK54+AL54+AM54-AN54</f>
        <v>0</v>
      </c>
      <c r="AP54">
        <f>AA54-AG54</f>
        <v>71</v>
      </c>
    </row>
    <row r="55" spans="1:42" ht="15.6" x14ac:dyDescent="0.3">
      <c r="A55" s="9" t="s">
        <v>32</v>
      </c>
      <c r="B55" t="s">
        <v>128</v>
      </c>
      <c r="C55" s="19">
        <v>10</v>
      </c>
      <c r="D55" s="19">
        <v>9</v>
      </c>
      <c r="E55" s="19">
        <v>9</v>
      </c>
      <c r="F55" s="19">
        <v>9</v>
      </c>
      <c r="G55" s="19">
        <v>9</v>
      </c>
      <c r="H55" s="19">
        <v>9</v>
      </c>
      <c r="I55" s="19">
        <v>8</v>
      </c>
      <c r="J55" s="19">
        <v>9</v>
      </c>
      <c r="K55" s="19">
        <v>10</v>
      </c>
      <c r="L55" s="19">
        <v>8</v>
      </c>
      <c r="M55" s="19">
        <v>9</v>
      </c>
      <c r="N55" s="19">
        <v>9</v>
      </c>
      <c r="O55" s="19">
        <v>11</v>
      </c>
      <c r="P55" s="19">
        <v>11</v>
      </c>
      <c r="Q55" s="19">
        <v>9</v>
      </c>
      <c r="R55" s="19">
        <v>9</v>
      </c>
      <c r="S55" s="19">
        <v>9</v>
      </c>
      <c r="T55" s="19">
        <v>9</v>
      </c>
      <c r="U55" s="19">
        <v>9</v>
      </c>
      <c r="V55">
        <f t="shared" ref="V55:V57" si="69">SUM(B55:G55)</f>
        <v>46</v>
      </c>
      <c r="W55">
        <f t="shared" ref="W55:W57" si="70">SUM(B55:F55)</f>
        <v>37</v>
      </c>
      <c r="X55" s="10">
        <f t="shared" ref="X55:X57" si="71">SUM(G55:K55)</f>
        <v>45</v>
      </c>
      <c r="Y55" s="10">
        <f t="shared" ref="Y55:Y57" si="72">SUM(L55:P55)</f>
        <v>48</v>
      </c>
      <c r="Z55" s="10">
        <f t="shared" ref="Z55:Z57" si="73">SUM(Q55:U55)</f>
        <v>45</v>
      </c>
      <c r="AA55">
        <f t="shared" ref="AA55:AA57" si="74">SUM(W55:Z55)</f>
        <v>175</v>
      </c>
      <c r="AB55" s="11">
        <f t="shared" ref="AB55:AB56" si="75">AA55/19</f>
        <v>9.2105263157894743</v>
      </c>
      <c r="AC55" s="12">
        <f t="shared" ref="AC55:AC56" si="76">AB55/9</f>
        <v>1.0233918128654971</v>
      </c>
      <c r="AK55" s="13">
        <v>1650</v>
      </c>
      <c r="AL55" s="13">
        <v>47.2</v>
      </c>
      <c r="AM55" s="13">
        <f t="shared" si="68"/>
        <v>0</v>
      </c>
      <c r="AN55" s="13">
        <v>0</v>
      </c>
      <c r="AO55" s="13">
        <f t="shared" ref="AO55:AO56" si="77">AK55+AL55+AM55-AN55</f>
        <v>1697.2</v>
      </c>
      <c r="AP55">
        <f t="shared" ref="AP55:AP56" si="78">AA55-AG55</f>
        <v>175</v>
      </c>
    </row>
    <row r="56" spans="1:42" ht="15.6" x14ac:dyDescent="0.3">
      <c r="A56" s="9" t="s">
        <v>27</v>
      </c>
      <c r="B56" t="s">
        <v>128</v>
      </c>
      <c r="C56" s="19">
        <v>7</v>
      </c>
      <c r="D56" s="19">
        <v>7</v>
      </c>
      <c r="E56" s="19">
        <v>9</v>
      </c>
      <c r="F56" s="19">
        <v>9</v>
      </c>
      <c r="G56" s="19">
        <v>9</v>
      </c>
      <c r="H56" s="19">
        <v>9</v>
      </c>
      <c r="I56" s="19">
        <v>9</v>
      </c>
      <c r="J56" s="19">
        <v>9</v>
      </c>
      <c r="K56" s="19">
        <v>9</v>
      </c>
      <c r="L56" s="19">
        <v>9</v>
      </c>
      <c r="M56" s="19">
        <v>9</v>
      </c>
      <c r="N56" s="19">
        <v>10</v>
      </c>
      <c r="O56" s="19">
        <v>10</v>
      </c>
      <c r="P56" s="19">
        <v>10</v>
      </c>
      <c r="Q56" s="19">
        <v>10</v>
      </c>
      <c r="R56" s="19">
        <v>9</v>
      </c>
      <c r="S56" s="19">
        <v>9</v>
      </c>
      <c r="T56" s="19">
        <v>9</v>
      </c>
      <c r="U56" s="19">
        <v>9</v>
      </c>
      <c r="V56">
        <f t="shared" si="69"/>
        <v>41</v>
      </c>
      <c r="W56">
        <f t="shared" si="70"/>
        <v>32</v>
      </c>
      <c r="X56" s="10">
        <f t="shared" si="71"/>
        <v>45</v>
      </c>
      <c r="Y56" s="10">
        <f t="shared" si="72"/>
        <v>48</v>
      </c>
      <c r="Z56" s="10">
        <f t="shared" si="73"/>
        <v>46</v>
      </c>
      <c r="AA56">
        <f t="shared" si="74"/>
        <v>171</v>
      </c>
      <c r="AB56" s="11">
        <f t="shared" si="75"/>
        <v>9</v>
      </c>
      <c r="AC56" s="12">
        <f t="shared" si="76"/>
        <v>1</v>
      </c>
      <c r="AK56" s="13">
        <v>1650</v>
      </c>
      <c r="AL56" s="13">
        <v>0</v>
      </c>
      <c r="AM56" s="13">
        <f t="shared" si="68"/>
        <v>0</v>
      </c>
      <c r="AN56" s="13">
        <v>0</v>
      </c>
      <c r="AO56" s="13">
        <f t="shared" si="77"/>
        <v>1650</v>
      </c>
      <c r="AP56">
        <f t="shared" si="78"/>
        <v>171</v>
      </c>
    </row>
    <row r="57" spans="1:42" s="42" customFormat="1" ht="15.6" x14ac:dyDescent="0.3">
      <c r="A57" s="9" t="s">
        <v>131</v>
      </c>
      <c r="B57" t="s">
        <v>128</v>
      </c>
      <c r="C57" s="43" t="s">
        <v>48</v>
      </c>
      <c r="D57" s="43" t="s">
        <v>48</v>
      </c>
      <c r="E57" s="43" t="s">
        <v>48</v>
      </c>
      <c r="F57" s="19">
        <v>3</v>
      </c>
      <c r="G57" s="19">
        <v>8</v>
      </c>
      <c r="H57" s="19">
        <v>7</v>
      </c>
      <c r="I57" s="19">
        <v>6</v>
      </c>
      <c r="J57" s="19">
        <v>8</v>
      </c>
      <c r="K57" s="19">
        <v>9</v>
      </c>
      <c r="L57" s="19">
        <v>9</v>
      </c>
      <c r="M57" s="43" t="s">
        <v>48</v>
      </c>
      <c r="N57" s="43" t="s">
        <v>48</v>
      </c>
      <c r="O57" s="43" t="s">
        <v>48</v>
      </c>
      <c r="P57" s="43" t="s">
        <v>48</v>
      </c>
      <c r="Q57" s="43" t="s">
        <v>48</v>
      </c>
      <c r="R57" s="19">
        <v>7</v>
      </c>
      <c r="S57" s="43" t="s">
        <v>48</v>
      </c>
      <c r="T57" s="43" t="s">
        <v>48</v>
      </c>
      <c r="U57" s="43" t="s">
        <v>48</v>
      </c>
      <c r="V57">
        <f t="shared" si="69"/>
        <v>11</v>
      </c>
      <c r="W57">
        <f t="shared" si="70"/>
        <v>3</v>
      </c>
      <c r="X57" s="10">
        <f t="shared" si="71"/>
        <v>38</v>
      </c>
      <c r="Y57" s="10">
        <f t="shared" si="72"/>
        <v>9</v>
      </c>
      <c r="Z57" s="10">
        <f t="shared" si="73"/>
        <v>7</v>
      </c>
      <c r="AA57">
        <f t="shared" si="74"/>
        <v>57</v>
      </c>
      <c r="AB57" s="11">
        <f>AA57/19</f>
        <v>3</v>
      </c>
      <c r="AC57" s="12">
        <f>AB57/9</f>
        <v>0.33333333333333331</v>
      </c>
      <c r="AK57" s="13">
        <v>0</v>
      </c>
      <c r="AL57" s="13">
        <v>0</v>
      </c>
      <c r="AM57" s="13">
        <f t="shared" ref="AM57" si="79">AJ57*11.8</f>
        <v>0</v>
      </c>
      <c r="AN57" s="13">
        <v>0</v>
      </c>
      <c r="AO57" s="13">
        <f t="shared" ref="AO57" si="80">AK57+AL57+AM57-AN57</f>
        <v>0</v>
      </c>
      <c r="AP57">
        <f t="shared" ref="AP57" si="81">AA57-AG57</f>
        <v>57</v>
      </c>
    </row>
    <row r="58" spans="1:42" ht="13.95" customHeight="1" x14ac:dyDescent="0.3">
      <c r="A58" s="21" t="s">
        <v>65</v>
      </c>
      <c r="C58" s="9"/>
      <c r="E58" s="9"/>
      <c r="G58" s="20"/>
      <c r="I58" s="20"/>
      <c r="J58" s="20"/>
      <c r="K58" s="20"/>
      <c r="L58" s="20"/>
      <c r="X58" s="10"/>
      <c r="Y58" s="10"/>
      <c r="Z58" s="10"/>
      <c r="AB58" s="11"/>
      <c r="AC58" s="12"/>
      <c r="AK58" s="17"/>
      <c r="AL58" s="17"/>
      <c r="AM58" s="17"/>
      <c r="AN58" s="17"/>
      <c r="AO58" s="17"/>
    </row>
    <row r="59" spans="1:42" ht="15.6" x14ac:dyDescent="0.3">
      <c r="A59" s="18" t="s">
        <v>66</v>
      </c>
      <c r="B59" s="9"/>
      <c r="C59" s="9"/>
      <c r="D59" s="9"/>
      <c r="E59" s="9"/>
      <c r="F59" s="9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AA59">
        <f>9*19</f>
        <v>171</v>
      </c>
      <c r="AK59" s="17"/>
      <c r="AL59" s="17"/>
      <c r="AM59" s="17"/>
      <c r="AN59" s="17"/>
    </row>
    <row r="60" spans="1:42" ht="15.6" x14ac:dyDescent="0.3">
      <c r="A60" s="19" t="s">
        <v>67</v>
      </c>
      <c r="AO60" s="17"/>
    </row>
    <row r="67" spans="1:13" x14ac:dyDescent="0.3">
      <c r="A67" s="9"/>
      <c r="M67" s="22"/>
    </row>
    <row r="68" spans="1:13" x14ac:dyDescent="0.3">
      <c r="A68" s="9"/>
    </row>
    <row r="69" spans="1:13" x14ac:dyDescent="0.3">
      <c r="A69" s="9"/>
    </row>
    <row r="70" spans="1:13" x14ac:dyDescent="0.3">
      <c r="A70" s="9"/>
    </row>
    <row r="71" spans="1:13" x14ac:dyDescent="0.3">
      <c r="A71" s="9"/>
    </row>
    <row r="72" spans="1:13" x14ac:dyDescent="0.3">
      <c r="A72" s="9"/>
    </row>
  </sheetData>
  <mergeCells count="48">
    <mergeCell ref="AP52:AP53"/>
    <mergeCell ref="B52:F52"/>
    <mergeCell ref="G52:K52"/>
    <mergeCell ref="L52:P52"/>
    <mergeCell ref="Q52:U52"/>
    <mergeCell ref="V52:Y52"/>
    <mergeCell ref="Z52:Z53"/>
    <mergeCell ref="AA52:AB52"/>
    <mergeCell ref="AC52:AF52"/>
    <mergeCell ref="AG52:AH52"/>
    <mergeCell ref="AI52:AJ52"/>
    <mergeCell ref="AK52:AO52"/>
    <mergeCell ref="AP47:AP48"/>
    <mergeCell ref="B47:F47"/>
    <mergeCell ref="G47:K47"/>
    <mergeCell ref="L47:P47"/>
    <mergeCell ref="Q47:U47"/>
    <mergeCell ref="V47:Y47"/>
    <mergeCell ref="Z47:Z48"/>
    <mergeCell ref="AA47:AB47"/>
    <mergeCell ref="AC47:AF47"/>
    <mergeCell ref="AG47:AH47"/>
    <mergeCell ref="AI47:AJ47"/>
    <mergeCell ref="AK47:AO47"/>
    <mergeCell ref="AP32:AP33"/>
    <mergeCell ref="B32:F32"/>
    <mergeCell ref="G32:K32"/>
    <mergeCell ref="L32:P32"/>
    <mergeCell ref="Q32:U32"/>
    <mergeCell ref="V32:Y32"/>
    <mergeCell ref="Z32:Z33"/>
    <mergeCell ref="AA32:AB32"/>
    <mergeCell ref="AC32:AF32"/>
    <mergeCell ref="AG32:AH32"/>
    <mergeCell ref="AI32:AJ32"/>
    <mergeCell ref="AK32:AO32"/>
    <mergeCell ref="AP1:AP2"/>
    <mergeCell ref="B1:F1"/>
    <mergeCell ref="G1:K1"/>
    <mergeCell ref="L1:P1"/>
    <mergeCell ref="Q1:U1"/>
    <mergeCell ref="V1:Y1"/>
    <mergeCell ref="Z1:Z2"/>
    <mergeCell ref="AA1:AB1"/>
    <mergeCell ref="AC1:AF1"/>
    <mergeCell ref="AG1:AH1"/>
    <mergeCell ref="AI1:AJ1"/>
    <mergeCell ref="AK1:AO1"/>
  </mergeCells>
  <phoneticPr fontId="8" type="noConversion"/>
  <conditionalFormatting sqref="B36:B38 M39:T39 B39:L45 M40:S40 M41:T43 B34:C34 B35:T35 D36:G36 Q36:T36 E37:G37 M44:S44 M45:T45">
    <cfRule type="containsText" dxfId="627" priority="289" operator="containsText" text="Inc">
      <formula>NOT(ISERROR(SEARCH("Inc",B34)))</formula>
    </cfRule>
  </conditionalFormatting>
  <conditionalFormatting sqref="B49 D49:F49 I49 M49:N49 R49 Q49:Q50">
    <cfRule type="containsText" dxfId="626" priority="307" operator="containsText" text="F">
      <formula>NOT(ISERROR(SEARCH("F",B49)))</formula>
    </cfRule>
    <cfRule type="containsText" dxfId="625" priority="306" operator="containsText" text="V">
      <formula>NOT(ISERROR(SEARCH("V",B49)))</formula>
    </cfRule>
    <cfRule type="containsText" dxfId="624" priority="305" operator="containsText" text="Incapacidad">
      <formula>NOT(ISERROR(SEARCH("Incapacidad",B49)))</formula>
    </cfRule>
    <cfRule type="containsText" dxfId="623" priority="308" operator="containsText" text="n/a">
      <formula>NOT(ISERROR(SEARCH("n/a",B49)))</formula>
    </cfRule>
  </conditionalFormatting>
  <conditionalFormatting sqref="B34:C34 B35:T35 D36:G36 Q36:T36 B36:B38 E37:G37 M39:T39 B39:L45 M40:S40 M41:T43 M44:S44 M45:T45">
    <cfRule type="containsText" dxfId="622" priority="295" operator="containsText" text="Emp">
      <formula>NOT(ISERROR(SEARCH("Emp",B34)))</formula>
    </cfRule>
    <cfRule type="containsText" dxfId="621" priority="294" operator="containsText" text="Alim">
      <formula>NOT(ISERROR(SEARCH("Alim",B34)))</formula>
    </cfRule>
    <cfRule type="containsText" dxfId="620" priority="293" operator="containsText" text="Susp">
      <formula>NOT(ISERROR(SEARCH("Susp",B34)))</formula>
    </cfRule>
    <cfRule type="containsText" dxfId="619" priority="298" operator="containsText" text="V">
      <formula>NOT(ISERROR(SEARCH("V",B34)))</formula>
    </cfRule>
    <cfRule type="containsText" dxfId="618" priority="300" operator="containsText" text="n/a">
      <formula>NOT(ISERROR(SEARCH("n/a",B34)))</formula>
    </cfRule>
    <cfRule type="containsText" dxfId="617" priority="290" operator="containsText" text="F">
      <formula>NOT(ISERROR(SEARCH("F",B34)))</formula>
    </cfRule>
    <cfRule type="containsText" dxfId="616" priority="291" operator="containsText" text="V">
      <formula>NOT(ISERROR(SEARCH("V",B34)))</formula>
    </cfRule>
    <cfRule type="containsText" dxfId="615" priority="297" operator="containsText" text="Incapacidad">
      <formula>NOT(ISERROR(SEARCH("Incapacidad",B34)))</formula>
    </cfRule>
    <cfRule type="containsText" dxfId="614" priority="292" operator="containsText" text="PSG">
      <formula>NOT(ISERROR(SEARCH("PSG",B34)))</formula>
    </cfRule>
    <cfRule type="containsText" dxfId="613" priority="299" operator="containsText" text="F">
      <formula>NOT(ISERROR(SEARCH("F",B34)))</formula>
    </cfRule>
  </conditionalFormatting>
  <conditionalFormatting sqref="B34:C34 B35:T35 D36:G36 Q36:T36 B36:B45 E37:G37 M39:T39 B39:K44 L39:L45 M40:S40 M41:T43 M44:S44 B45:T45 H3 B3:B4 B5:C5 H5:T5 C6:L8 B6:B30 N7:T10 H9:M10 C9:G15 R11:S11 H11:I13 T11:T14 J12:S13 H14:T15 R16:T16 H17:L17 M17:T18 C17:G23 K18:L18 H18:I23 J20:T23 S24:T25 C26:C27 D26:G28 H26:L29 M26:T30 C29:G29 B30:L31 N31:U31">
    <cfRule type="containsText" dxfId="612" priority="296" operator="containsText" text="Maq">
      <formula>NOT(ISERROR(SEARCH("Maq",B3)))</formula>
    </cfRule>
  </conditionalFormatting>
  <conditionalFormatting sqref="C22:C23 C26:C28">
    <cfRule type="containsText" dxfId="611" priority="184" operator="containsText" text="Incapacidad">
      <formula>NOT(ISERROR(SEARCH("Incapacidad",C22)))</formula>
    </cfRule>
    <cfRule type="containsText" dxfId="610" priority="181" operator="containsText" text="Bend">
      <formula>NOT(ISERROR(SEARCH("Bend",C22)))</formula>
    </cfRule>
  </conditionalFormatting>
  <conditionalFormatting sqref="C26:C28 C22:C23">
    <cfRule type="containsText" dxfId="609" priority="187" operator="containsText" text="n/a">
      <formula>NOT(ISERROR(SEARCH("n/a",C22)))</formula>
    </cfRule>
    <cfRule type="containsText" dxfId="608" priority="188" operator="containsText" text="F">
      <formula>NOT(ISERROR(SEARCH("F",C22)))</formula>
    </cfRule>
  </conditionalFormatting>
  <conditionalFormatting sqref="C28">
    <cfRule type="containsText" dxfId="607" priority="191" operator="containsText" text="Maq">
      <formula>NOT(ISERROR(SEARCH("Maq",C28)))</formula>
    </cfRule>
    <cfRule type="containsText" dxfId="606" priority="185" operator="containsText" text="V">
      <formula>NOT(ISERROR(SEARCH("V",C28)))</formula>
    </cfRule>
    <cfRule type="containsText" dxfId="605" priority="186" operator="containsText" text="Inc">
      <formula>NOT(ISERROR(SEARCH("Inc",C28)))</formula>
    </cfRule>
    <cfRule type="containsText" dxfId="604" priority="189" operator="containsText" text="Alim">
      <formula>NOT(ISERROR(SEARCH("Alim",C28)))</formula>
    </cfRule>
    <cfRule type="containsText" dxfId="603" priority="190" operator="containsText" text="Emp">
      <formula>NOT(ISERROR(SEARCH("Emp",C28)))</formula>
    </cfRule>
  </conditionalFormatting>
  <conditionalFormatting sqref="C22:D23 C26:D28 M30 B31:L31 N31:U31">
    <cfRule type="containsText" dxfId="602" priority="183" operator="containsText" text="Susp">
      <formula>NOT(ISERROR(SEARCH("Susp",B22)))</formula>
    </cfRule>
    <cfRule type="containsText" dxfId="601" priority="182" operator="containsText" text="PSG">
      <formula>NOT(ISERROR(SEARCH("PSG",B22)))</formula>
    </cfRule>
  </conditionalFormatting>
  <conditionalFormatting sqref="C54:L54">
    <cfRule type="containsText" dxfId="600" priority="16" operator="containsText" text="Inc">
      <formula>NOT(ISERROR(SEARCH("Inc",C54)))</formula>
    </cfRule>
    <cfRule type="containsText" dxfId="599" priority="15" operator="containsText" text="Emp">
      <formula>NOT(ISERROR(SEARCH("Emp",C54)))</formula>
    </cfRule>
    <cfRule type="containsText" dxfId="598" priority="14" operator="containsText" text="Alim">
      <formula>NOT(ISERROR(SEARCH("Alim",C54)))</formula>
    </cfRule>
    <cfRule type="containsText" dxfId="597" priority="13" operator="containsText" text="Bend">
      <formula>NOT(ISERROR(SEARCH("Bend",C54)))</formula>
    </cfRule>
    <cfRule type="containsText" dxfId="596" priority="12" operator="containsText" text="Maqu">
      <formula>NOT(ISERROR(SEARCH("Maqu",C54)))</formula>
    </cfRule>
    <cfRule type="containsText" dxfId="595" priority="20" operator="containsText" text="PSG">
      <formula>NOT(ISERROR(SEARCH("PSG",C54)))</formula>
    </cfRule>
    <cfRule type="containsText" dxfId="594" priority="19" operator="containsText" text="Susp">
      <formula>NOT(ISERROR(SEARCH("Susp",C54)))</formula>
    </cfRule>
    <cfRule type="containsText" dxfId="593" priority="18" operator="containsText" text="n/a">
      <formula>NOT(ISERROR(SEARCH("n/a",C54)))</formula>
    </cfRule>
    <cfRule type="containsText" dxfId="592" priority="17" operator="containsText" text="V">
      <formula>NOT(ISERROR(SEARCH("V",C54)))</formula>
    </cfRule>
    <cfRule type="containsText" dxfId="591" priority="21" operator="containsText" text="F">
      <formula>NOT(ISERROR(SEARCH("F",C54)))</formula>
    </cfRule>
  </conditionalFormatting>
  <conditionalFormatting sqref="D49:G49 I49 B54:B57 B5:C5 H5:T5 C6:L8 B6:B30 I9:L10 C9:H15 I11:I12 J12:L12 M12:S14 I13:L15 T14 H14:I15 M15:T15 I17:L17 C17:G21 H17:H23 K18:L18 I18:I23 J20:T23 S24:T25 I26:L27 M26:T28 B30:T30 B3:B4 R16:T16 E22:G23 E26:G28 H26:H29">
    <cfRule type="containsText" dxfId="590" priority="262" operator="containsText" text="PSG">
      <formula>NOT(ISERROR(SEARCH("PSG",B3)))</formula>
    </cfRule>
    <cfRule type="containsText" dxfId="589" priority="261" operator="containsText" text="Susp">
      <formula>NOT(ISERROR(SEARCH("Susp",B3)))</formula>
    </cfRule>
  </conditionalFormatting>
  <conditionalFormatting sqref="G46 O46:P46 Q14:T14 B5:C5 H5:T5 C6:L8 B6:B30 I9:L10 C9:H15 I11:I12 J12:L12 M12:S13 I13:L15 M14:O14 H14:I15 P14:P15 I17:L17 C17:G21 H17:H23 K18:L18 I18:I23 J20:T23 S24:T25 J26 M26:T28 B36:B45 M39:T39 M40:S40 M41:T43 B54:B57">
    <cfRule type="containsText" dxfId="588" priority="255" operator="containsText" text="Bend">
      <formula>NOT(ISERROR(SEARCH("Bend",B5)))</formula>
    </cfRule>
  </conditionalFormatting>
  <conditionalFormatting sqref="G46">
    <cfRule type="containsText" dxfId="587" priority="249" operator="containsText" text="V">
      <formula>NOT(ISERROR(SEARCH("V",G46)))</formula>
    </cfRule>
    <cfRule type="containsText" dxfId="586" priority="250" operator="containsText" text="n/a">
      <formula>NOT(ISERROR(SEARCH("n/a",G46)))</formula>
    </cfRule>
    <cfRule type="containsText" dxfId="585" priority="245" operator="containsText" text="Alim">
      <formula>NOT(ISERROR(SEARCH("Alim",G46)))</formula>
    </cfRule>
    <cfRule type="containsText" dxfId="584" priority="253" operator="containsText" text="F">
      <formula>NOT(ISERROR(SEARCH("F",G46)))</formula>
    </cfRule>
    <cfRule type="containsText" dxfId="583" priority="251" operator="containsText" text="Susp">
      <formula>NOT(ISERROR(SEARCH("Susp",G46)))</formula>
    </cfRule>
    <cfRule type="containsText" dxfId="582" priority="252" operator="containsText" text="PSG">
      <formula>NOT(ISERROR(SEARCH("PSG",G46)))</formula>
    </cfRule>
    <cfRule type="containsText" dxfId="581" priority="248" operator="containsText" text="Inc">
      <formula>NOT(ISERROR(SEARCH("Inc",G46)))</formula>
    </cfRule>
    <cfRule type="containsText" dxfId="580" priority="247" operator="containsText" text="Emp">
      <formula>NOT(ISERROR(SEARCH("Emp",G46)))</formula>
    </cfRule>
    <cfRule type="containsText" dxfId="579" priority="246" operator="containsText" text="Maqu">
      <formula>NOT(ISERROR(SEARCH("Maqu",G46)))</formula>
    </cfRule>
  </conditionalFormatting>
  <conditionalFormatting sqref="G49 I49">
    <cfRule type="containsText" dxfId="578" priority="263" operator="containsText" text="F">
      <formula>NOT(ISERROR(SEARCH("F",G49)))</formula>
    </cfRule>
    <cfRule type="containsText" dxfId="577" priority="259" operator="containsText" text="V">
      <formula>NOT(ISERROR(SEARCH("V",G49)))</formula>
    </cfRule>
    <cfRule type="containsText" dxfId="576" priority="258" operator="containsText" text="Inc">
      <formula>NOT(ISERROR(SEARCH("Inc",G49)))</formula>
    </cfRule>
    <cfRule type="containsText" dxfId="575" priority="260" operator="containsText" text="n/a">
      <formula>NOT(ISERROR(SEARCH("n/a",G49)))</formula>
    </cfRule>
  </conditionalFormatting>
  <conditionalFormatting sqref="H3 B3:B4 B5:C5 H5:T5 C6:T8 B6:B30 I9:T10 C9:H15 R11:T11 I11:I12 J12:L12 M12:T15 I13:L15 H14:I15 R16:T16 I17:L17 M17:T18 C17:G21 H17:H23 K18:L18 I18:I23 J20:T23 D22:G23 S24:T25 I26:L27 D26:G28 H26:H29 M26:T30 C29:G29 I29:L29 B30:L31 N31:U31">
    <cfRule type="containsText" dxfId="574" priority="277" operator="containsText" text="F">
      <formula>NOT(ISERROR(SEARCH("F",B3)))</formula>
    </cfRule>
    <cfRule type="containsText" dxfId="573" priority="276" operator="containsText" text="n/a">
      <formula>NOT(ISERROR(SEARCH("n/a",B3)))</formula>
    </cfRule>
  </conditionalFormatting>
  <conditionalFormatting sqref="H3 B3:B4 B5:C5 H5:T5 C6:T8 B6:B30 I9:T10 C9:H15 R11:T11 I11:I12 J12:L12 M12:T15 I13:L15 H14:I15 R16:T16 I17:L17 M17:T18 C17:H23 K18:L18 I18:I23 J20:T23 S24:T25 C26:C27 D26:G28 H26:L29 M26:T30 C29:G29 B30:L31 N31:U31 I49:I50 B54:B57 J50:M50 N49 B50:G50">
    <cfRule type="containsText" dxfId="572" priority="281" operator="containsText" text="Emp">
      <formula>NOT(ISERROR(SEARCH("Emp",B3)))</formula>
    </cfRule>
    <cfRule type="containsText" dxfId="571" priority="280" operator="containsText" text="Alim">
      <formula>NOT(ISERROR(SEARCH("Alim",B3)))</formula>
    </cfRule>
  </conditionalFormatting>
  <conditionalFormatting sqref="H3 B3:B4 B5:C5 H5:T5 C6:T8 B6:B30 I9:T10 C9:H15 R11:T11 I11:I12 J12:L12 M12:T15 I13:L15 H14:I15 R16:T16 I17:L17 M17:T18 C17:H23 K18:L18 I18:I23 J20:T23 S24:T25 D26:G28 H26:L29 M26:T30 C29:G29 B30:L31 N31:U31 C26:C27">
    <cfRule type="containsText" dxfId="570" priority="278" operator="containsText" text="V">
      <formula>NOT(ISERROR(SEARCH("V",B3)))</formula>
    </cfRule>
  </conditionalFormatting>
  <conditionalFormatting sqref="H3 M6:T10 T11:T14 D22:D23 D26:D28 C29:G29 M29:T29 M30:R30 I50:M50 B49:B50 C50:G50">
    <cfRule type="containsText" dxfId="569" priority="279" operator="containsText" text="Bend">
      <formula>NOT(ISERROR(SEARCH("Bend",B3)))</formula>
    </cfRule>
  </conditionalFormatting>
  <conditionalFormatting sqref="H49:H50">
    <cfRule type="containsText" dxfId="568" priority="176" operator="containsText" text="Maq">
      <formula>NOT(ISERROR(SEARCH("Maq",H49)))</formula>
    </cfRule>
    <cfRule type="containsText" dxfId="567" priority="169" operator="containsText" text="Inc">
      <formula>NOT(ISERROR(SEARCH("Inc",H49)))</formula>
    </cfRule>
    <cfRule type="containsText" dxfId="566" priority="170" operator="containsText" text="F">
      <formula>NOT(ISERROR(SEARCH("F",H49)))</formula>
    </cfRule>
    <cfRule type="containsText" dxfId="565" priority="171" operator="containsText" text="V">
      <formula>NOT(ISERROR(SEARCH("V",H49)))</formula>
    </cfRule>
    <cfRule type="containsText" dxfId="564" priority="172" operator="containsText" text="PSG">
      <formula>NOT(ISERROR(SEARCH("PSG",H49)))</formula>
    </cfRule>
    <cfRule type="containsText" dxfId="563" priority="173" operator="containsText" text="Susp">
      <formula>NOT(ISERROR(SEARCH("Susp",H49)))</formula>
    </cfRule>
    <cfRule type="containsText" dxfId="562" priority="174" operator="containsText" text="Alim">
      <formula>NOT(ISERROR(SEARCH("Alim",H49)))</formula>
    </cfRule>
    <cfRule type="containsText" dxfId="561" priority="175" operator="containsText" text="Emp">
      <formula>NOT(ISERROR(SEARCH("Emp",H49)))</formula>
    </cfRule>
    <cfRule type="containsText" dxfId="560" priority="177" operator="containsText" text="Incapacidad">
      <formula>NOT(ISERROR(SEARCH("Incapacidad",H49)))</formula>
    </cfRule>
    <cfRule type="containsText" dxfId="559" priority="178" operator="containsText" text="V">
      <formula>NOT(ISERROR(SEARCH("V",H49)))</formula>
    </cfRule>
    <cfRule type="containsText" dxfId="558" priority="179" operator="containsText" text="F">
      <formula>NOT(ISERROR(SEARCH("F",H49)))</formula>
    </cfRule>
    <cfRule type="containsText" dxfId="557" priority="180" operator="containsText" text="n/a">
      <formula>NOT(ISERROR(SEARCH("n/a",H49)))</formula>
    </cfRule>
  </conditionalFormatting>
  <conditionalFormatting sqref="H49:L50 L50:Q50">
    <cfRule type="containsText" dxfId="556" priority="194" operator="containsText" text="Bend">
      <formula>NOT(ISERROR(SEARCH("Bend",H49)))</formula>
    </cfRule>
  </conditionalFormatting>
  <conditionalFormatting sqref="I27">
    <cfRule type="containsText" dxfId="555" priority="145" operator="containsText" text="Inc">
      <formula>NOT(ISERROR(SEARCH("Inc",I27)))</formula>
    </cfRule>
    <cfRule type="containsText" dxfId="554" priority="146" operator="containsText" text="F">
      <formula>NOT(ISERROR(SEARCH("F",I27)))</formula>
    </cfRule>
    <cfRule type="containsText" dxfId="553" priority="147" operator="containsText" text="V">
      <formula>NOT(ISERROR(SEARCH("V",I27)))</formula>
    </cfRule>
    <cfRule type="containsText" dxfId="552" priority="150" operator="containsText" text="Alim">
      <formula>NOT(ISERROR(SEARCH("Alim",I27)))</formula>
    </cfRule>
    <cfRule type="containsText" dxfId="551" priority="151" operator="containsText" text="Emp">
      <formula>NOT(ISERROR(SEARCH("Emp",I27)))</formula>
    </cfRule>
    <cfRule type="containsText" dxfId="550" priority="153" operator="containsText" text="V">
      <formula>NOT(ISERROR(SEARCH("V",I27)))</formula>
    </cfRule>
  </conditionalFormatting>
  <conditionalFormatting sqref="I27:L28">
    <cfRule type="containsText" dxfId="549" priority="148" operator="containsText" text="PSG">
      <formula>NOT(ISERROR(SEARCH("PSG",I27)))</formula>
    </cfRule>
    <cfRule type="containsText" dxfId="548" priority="152" operator="containsText" text="Incapacidad">
      <formula>NOT(ISERROR(SEARCH("Incapacidad",I27)))</formula>
    </cfRule>
    <cfRule type="containsText" dxfId="547" priority="149" operator="containsText" text="Susp">
      <formula>NOT(ISERROR(SEARCH("Susp",I27)))</formula>
    </cfRule>
    <cfRule type="containsText" dxfId="546" priority="154" operator="containsText" text="F">
      <formula>NOT(ISERROR(SEARCH("F",I27)))</formula>
    </cfRule>
    <cfRule type="containsText" dxfId="545" priority="155" operator="containsText" text="n/a">
      <formula>NOT(ISERROR(SEARCH("n/a",I27)))</formula>
    </cfRule>
  </conditionalFormatting>
  <conditionalFormatting sqref="I50:N50 G49 I49 B50:G50 B54:B57">
    <cfRule type="containsText" dxfId="544" priority="256" operator="containsText" text="Maqu">
      <formula>NOT(ISERROR(SEARCH("Maqu",B49)))</formula>
    </cfRule>
  </conditionalFormatting>
  <conditionalFormatting sqref="I29:T29 C29:G29">
    <cfRule type="containsText" dxfId="543" priority="272" operator="containsText" text="PSG">
      <formula>NOT(ISERROR(SEARCH("PSG",C29)))</formula>
    </cfRule>
    <cfRule type="containsText" dxfId="542" priority="273" operator="containsText" text="Susp">
      <formula>NOT(ISERROR(SEARCH("Susp",C29)))</formula>
    </cfRule>
  </conditionalFormatting>
  <conditionalFormatting sqref="J46:K46 O46:P46">
    <cfRule type="containsText" dxfId="541" priority="240" operator="containsText" text="Inc">
      <formula>NOT(ISERROR(SEARCH("Inc",J46)))</formula>
    </cfRule>
    <cfRule type="containsText" dxfId="540" priority="241" operator="containsText" text="V">
      <formula>NOT(ISERROR(SEARCH("V",J46)))</formula>
    </cfRule>
    <cfRule type="containsText" dxfId="539" priority="242" operator="containsText" text="n/a">
      <formula>NOT(ISERROR(SEARCH("n/a",J46)))</formula>
    </cfRule>
    <cfRule type="containsText" dxfId="538" priority="238" operator="containsText" text="Maqu">
      <formula>NOT(ISERROR(SEARCH("Maqu",J46)))</formula>
    </cfRule>
  </conditionalFormatting>
  <conditionalFormatting sqref="J46:K46">
    <cfRule type="containsText" dxfId="537" priority="239" operator="containsText" text="Emp">
      <formula>NOT(ISERROR(SEARCH("Emp",J46)))</formula>
    </cfRule>
    <cfRule type="containsText" dxfId="536" priority="236" operator="containsText" text="Alim">
      <formula>NOT(ISERROR(SEARCH("Alim",J46)))</formula>
    </cfRule>
    <cfRule type="containsText" dxfId="535" priority="237" operator="containsText" text="Bend">
      <formula>NOT(ISERROR(SEARCH("Bend",J46)))</formula>
    </cfRule>
    <cfRule type="containsText" dxfId="534" priority="244" operator="containsText" text="PSG">
      <formula>NOT(ISERROR(SEARCH("PSG",J46)))</formula>
    </cfRule>
    <cfRule type="containsText" dxfId="533" priority="243" operator="containsText" text="Susp">
      <formula>NOT(ISERROR(SEARCH("Susp",J46)))</formula>
    </cfRule>
  </conditionalFormatting>
  <conditionalFormatting sqref="J49:K50 L50:M50">
    <cfRule type="containsText" dxfId="532" priority="235" operator="containsText" text="F">
      <formula>NOT(ISERROR(SEARCH("F",J49)))</formula>
    </cfRule>
    <cfRule type="containsText" dxfId="531" priority="231" operator="containsText" text="V">
      <formula>NOT(ISERROR(SEARCH("V",J49)))</formula>
    </cfRule>
    <cfRule type="containsText" dxfId="530" priority="230" operator="containsText" text="Inc">
      <formula>NOT(ISERROR(SEARCH("Inc",J49)))</formula>
    </cfRule>
    <cfRule type="containsText" dxfId="529" priority="232" operator="containsText" text="n/a">
      <formula>NOT(ISERROR(SEARCH("n/a",J49)))</formula>
    </cfRule>
    <cfRule type="containsText" dxfId="528" priority="233" operator="containsText" text="Susp">
      <formula>NOT(ISERROR(SEARCH("Susp",J49)))</formula>
    </cfRule>
    <cfRule type="containsText" dxfId="527" priority="234" operator="containsText" text="PSG">
      <formula>NOT(ISERROR(SEARCH("PSG",J49)))</formula>
    </cfRule>
  </conditionalFormatting>
  <conditionalFormatting sqref="J49:L50 L50:N50">
    <cfRule type="containsText" dxfId="526" priority="201" operator="containsText" text="Emp">
      <formula>NOT(ISERROR(SEARCH("Emp",J49)))</formula>
    </cfRule>
    <cfRule type="containsText" dxfId="525" priority="200" operator="containsText" text="Alim">
      <formula>NOT(ISERROR(SEARCH("Alim",J49)))</formula>
    </cfRule>
  </conditionalFormatting>
  <conditionalFormatting sqref="J11:Q11">
    <cfRule type="containsText" dxfId="524" priority="2" operator="containsText" text="Maqu">
      <formula>NOT(ISERROR(SEARCH("Maqu",J11)))</formula>
    </cfRule>
    <cfRule type="containsText" dxfId="523" priority="8" operator="containsText" text="n/a">
      <formula>NOT(ISERROR(SEARCH("n/a",J11)))</formula>
    </cfRule>
    <cfRule type="containsText" dxfId="522" priority="4" operator="containsText" text="Alim">
      <formula>NOT(ISERROR(SEARCH("Alim",J11)))</formula>
    </cfRule>
    <cfRule type="containsText" dxfId="521" priority="5" operator="containsText" text="Emp">
      <formula>NOT(ISERROR(SEARCH("Emp",J11)))</formula>
    </cfRule>
    <cfRule type="containsText" dxfId="520" priority="6" operator="containsText" text="Inc">
      <formula>NOT(ISERROR(SEARCH("Inc",J11)))</formula>
    </cfRule>
    <cfRule type="containsText" dxfId="519" priority="7" operator="containsText" text="V">
      <formula>NOT(ISERROR(SEARCH("V",J11)))</formula>
    </cfRule>
    <cfRule type="containsText" dxfId="518" priority="11" operator="containsText" text="F">
      <formula>NOT(ISERROR(SEARCH("F",J11)))</formula>
    </cfRule>
  </conditionalFormatting>
  <conditionalFormatting sqref="J11:S11">
    <cfRule type="containsText" dxfId="517" priority="3" operator="containsText" text="Bend">
      <formula>NOT(ISERROR(SEARCH("Bend",J11)))</formula>
    </cfRule>
    <cfRule type="containsText" dxfId="516" priority="9" operator="containsText" text="Susp">
      <formula>NOT(ISERROR(SEARCH("Susp",J11)))</formula>
    </cfRule>
    <cfRule type="containsText" dxfId="515" priority="10" operator="containsText" text="PSG">
      <formula>NOT(ISERROR(SEARCH("PSG",J11)))</formula>
    </cfRule>
  </conditionalFormatting>
  <conditionalFormatting sqref="L49:L50 M50">
    <cfRule type="containsText" dxfId="514" priority="199" operator="containsText" text="Susp">
      <formula>NOT(ISERROR(SEARCH("Susp",L49)))</formula>
    </cfRule>
    <cfRule type="containsText" dxfId="513" priority="198" operator="containsText" text="PSG">
      <formula>NOT(ISERROR(SEARCH("PSG",L49)))</formula>
    </cfRule>
    <cfRule type="containsText" dxfId="512" priority="205" operator="containsText" text="F">
      <formula>NOT(ISERROR(SEARCH("F",L49)))</formula>
    </cfRule>
    <cfRule type="containsText" dxfId="511" priority="204" operator="containsText" text="V">
      <formula>NOT(ISERROR(SEARCH("V",L49)))</formula>
    </cfRule>
    <cfRule type="containsText" dxfId="510" priority="203" operator="containsText" text="Incapacidad">
      <formula>NOT(ISERROR(SEARCH("Incapacidad",L49)))</formula>
    </cfRule>
    <cfRule type="containsText" dxfId="509" priority="202" operator="containsText" text="Maq">
      <formula>NOT(ISERROR(SEARCH("Maq",L49)))</formula>
    </cfRule>
    <cfRule type="containsText" dxfId="508" priority="206" operator="containsText" text="n/a">
      <formula>NOT(ISERROR(SEARCH("n/a",L49)))</formula>
    </cfRule>
  </conditionalFormatting>
  <conditionalFormatting sqref="L50:M50 J49:K50">
    <cfRule type="containsText" dxfId="507" priority="229" operator="containsText" text="Maqu">
      <formula>NOT(ISERROR(SEARCH("Maqu",J49)))</formula>
    </cfRule>
  </conditionalFormatting>
  <conditionalFormatting sqref="L50:M50">
    <cfRule type="containsText" dxfId="506" priority="197" operator="containsText" text="V">
      <formula>NOT(ISERROR(SEARCH("V",L50)))</formula>
    </cfRule>
    <cfRule type="containsText" dxfId="505" priority="196" operator="containsText" text="F">
      <formula>NOT(ISERROR(SEARCH("F",L50)))</formula>
    </cfRule>
    <cfRule type="containsText" dxfId="504" priority="195" operator="containsText" text="Inc">
      <formula>NOT(ISERROR(SEARCH("Inc",L50)))</formula>
    </cfRule>
  </conditionalFormatting>
  <conditionalFormatting sqref="M7:M8">
    <cfRule type="containsText" dxfId="503" priority="103" operator="containsText" text="Maq">
      <formula>NOT(ISERROR(SEARCH("Maq",M7)))</formula>
    </cfRule>
  </conditionalFormatting>
  <conditionalFormatting sqref="M30 B30:L31 N31:U31 H26:L29 B3:B4 M15:T15 R16:T16 E22:G23 E26:G28 B34:C34 B35:T35 D36:G36 Q36:T36 E37:G37 B39:K44 L39:L45 M44:S44 B45:T45 D49:G49 M49:R49 O51:Q51">
    <cfRule type="containsText" dxfId="502" priority="221" operator="containsText" text="Bend">
      <formula>NOT(ISERROR(SEARCH("Bend",B3)))</formula>
    </cfRule>
  </conditionalFormatting>
  <conditionalFormatting sqref="M49:N49 Q49:R49 B49 D49:F49">
    <cfRule type="containsText" dxfId="501" priority="303" operator="containsText" text="Emp">
      <formula>NOT(ISERROR(SEARCH("Emp",B49)))</formula>
    </cfRule>
    <cfRule type="containsText" dxfId="500" priority="302" operator="containsText" text="Alim">
      <formula>NOT(ISERROR(SEARCH("Alim",B49)))</formula>
    </cfRule>
  </conditionalFormatting>
  <conditionalFormatting sqref="M49:N49 Q49:R49 B49 M6:T6 I49 D49:F49">
    <cfRule type="containsText" dxfId="499" priority="304" operator="containsText" text="Maq">
      <formula>NOT(ISERROR(SEARCH("Maq",B6)))</formula>
    </cfRule>
  </conditionalFormatting>
  <conditionalFormatting sqref="M6:T10 H3 T11:T14">
    <cfRule type="containsText" dxfId="498" priority="193" operator="containsText" text="PSG">
      <formula>NOT(ISERROR(SEARCH("PSG",H3)))</formula>
    </cfRule>
    <cfRule type="containsText" dxfId="497" priority="192" operator="containsText" text="Susp">
      <formula>NOT(ISERROR(SEARCH("Susp",H3)))</formula>
    </cfRule>
  </conditionalFormatting>
  <conditionalFormatting sqref="M26:T30 C29:G29 I29:L29 B3:B4 B5:C5 H5:T5 C6:T8 B6:B30 I9:T10 C9:H15 I11:I12 J12:L12 M12:T15 I13:L15 H14:I15 R16:T16 I17:L17 C17:G21 H17:H23 K18:L18 I18:I23 J20:T23 D22:G23 S24:T25 I26:L27 D26:G28 H26:H29 B30:L31 N31:U31 H3 R11:T11 M17:T18">
    <cfRule type="containsText" dxfId="496" priority="275" operator="containsText" text="Incapacidad">
      <formula>NOT(ISERROR(SEARCH("Incapacidad",B3)))</formula>
    </cfRule>
  </conditionalFormatting>
  <conditionalFormatting sqref="N49 B50:G50 I50:N50 B54:B57 Q49:Q50 R49">
    <cfRule type="containsText" dxfId="495" priority="283" operator="containsText" text="Inc">
      <formula>NOT(ISERROR(SEARCH("Inc",B49)))</formula>
    </cfRule>
  </conditionalFormatting>
  <conditionalFormatting sqref="N49 R49 Q49:Q50 B50:G50 I50:N50 B54:B57">
    <cfRule type="containsText" dxfId="494" priority="285" operator="containsText" text="n/a">
      <formula>NOT(ISERROR(SEARCH("n/a",B49)))</formula>
    </cfRule>
    <cfRule type="containsText" dxfId="493" priority="284" operator="containsText" text="V">
      <formula>NOT(ISERROR(SEARCH("V",B49)))</formula>
    </cfRule>
    <cfRule type="containsText" dxfId="492" priority="288" operator="containsText" text="F">
      <formula>NOT(ISERROR(SEARCH("F",B49)))</formula>
    </cfRule>
  </conditionalFormatting>
  <conditionalFormatting sqref="N49">
    <cfRule type="containsText" dxfId="491" priority="282" operator="containsText" text="Maqu">
      <formula>NOT(ISERROR(SEARCH("Maqu",N49)))</formula>
    </cfRule>
  </conditionalFormatting>
  <conditionalFormatting sqref="O46:P46 G49 I49">
    <cfRule type="containsText" dxfId="490" priority="257" operator="containsText" text="Emp">
      <formula>NOT(ISERROR(SEARCH("Emp",G46)))</formula>
    </cfRule>
    <cfRule type="containsText" dxfId="489" priority="254" operator="containsText" text="Alim">
      <formula>NOT(ISERROR(SEARCH("Alim",G46)))</formula>
    </cfRule>
  </conditionalFormatting>
  <conditionalFormatting sqref="O46:P46 J46:K46">
    <cfRule type="containsText" dxfId="488" priority="264" operator="containsText" text="F">
      <formula>NOT(ISERROR(SEARCH("F",J46)))</formula>
    </cfRule>
  </conditionalFormatting>
  <conditionalFormatting sqref="O49:P51 Q51">
    <cfRule type="containsText" dxfId="487" priority="227" operator="containsText" text="PSG">
      <formula>NOT(ISERROR(SEARCH("PSG",O49)))</formula>
    </cfRule>
    <cfRule type="containsText" dxfId="486" priority="228" operator="containsText" text="F">
      <formula>NOT(ISERROR(SEARCH("F",O49)))</formula>
    </cfRule>
    <cfRule type="containsText" dxfId="485" priority="223" operator="containsText" text="Inc">
      <formula>NOT(ISERROR(SEARCH("Inc",O49)))</formula>
    </cfRule>
    <cfRule type="containsText" dxfId="484" priority="224" operator="containsText" text="V">
      <formula>NOT(ISERROR(SEARCH("V",O49)))</formula>
    </cfRule>
    <cfRule type="containsText" dxfId="483" priority="225" operator="containsText" text="n/a">
      <formula>NOT(ISERROR(SEARCH("n/a",O49)))</formula>
    </cfRule>
    <cfRule type="containsText" dxfId="482" priority="226" operator="containsText" text="Susp">
      <formula>NOT(ISERROR(SEARCH("Susp",O49)))</formula>
    </cfRule>
  </conditionalFormatting>
  <conditionalFormatting sqref="O49:R51">
    <cfRule type="containsText" dxfId="481" priority="212" operator="containsText" text="Alim">
      <formula>NOT(ISERROR(SEARCH("Alim",O49)))</formula>
    </cfRule>
    <cfRule type="containsText" dxfId="480" priority="213" operator="containsText" text="Emp">
      <formula>NOT(ISERROR(SEARCH("Emp",O49)))</formula>
    </cfRule>
  </conditionalFormatting>
  <conditionalFormatting sqref="Q50">
    <cfRule type="containsText" dxfId="479" priority="274" operator="containsText" text="Maq">
      <formula>NOT(ISERROR(SEARCH("Maq",Q50)))</formula>
    </cfRule>
  </conditionalFormatting>
  <conditionalFormatting sqref="R49 B49:B50 M49:N50 Q49:Q50 C50:G50 I50:M50 O46:P46">
    <cfRule type="containsText" dxfId="478" priority="287" operator="containsText" text="PSG">
      <formula>NOT(ISERROR(SEARCH("PSG",B46)))</formula>
    </cfRule>
    <cfRule type="containsText" dxfId="477" priority="286" operator="containsText" text="Susp">
      <formula>NOT(ISERROR(SEARCH("Susp",B46)))</formula>
    </cfRule>
  </conditionalFormatting>
  <conditionalFormatting sqref="R49 O49:Q51">
    <cfRule type="containsText" dxfId="476" priority="222" operator="containsText" text="Maqu">
      <formula>NOT(ISERROR(SEARCH("Maqu",O49)))</formula>
    </cfRule>
  </conditionalFormatting>
  <conditionalFormatting sqref="R50:R51">
    <cfRule type="containsText" dxfId="475" priority="214" operator="containsText" text="Maq">
      <formula>NOT(ISERROR(SEARCH("Maq",R50)))</formula>
    </cfRule>
    <cfRule type="containsText" dxfId="474" priority="215" operator="containsText" text="Incapacidad">
      <formula>NOT(ISERROR(SEARCH("Incapacidad",R50)))</formula>
    </cfRule>
    <cfRule type="containsText" dxfId="473" priority="216" operator="containsText" text="V">
      <formula>NOT(ISERROR(SEARCH("V",R50)))</formula>
    </cfRule>
    <cfRule type="containsText" dxfId="472" priority="217" operator="containsText" text="F">
      <formula>NOT(ISERROR(SEARCH("F",R50)))</formula>
    </cfRule>
    <cfRule type="containsText" dxfId="471" priority="219" operator="containsText" text="V">
      <formula>NOT(ISERROR(SEARCH("V",R50)))</formula>
    </cfRule>
    <cfRule type="containsText" dxfId="470" priority="220" operator="containsText" text="Inc">
      <formula>NOT(ISERROR(SEARCH("Inc",R50)))</formula>
    </cfRule>
    <cfRule type="containsText" dxfId="469" priority="207" operator="containsText" text="F">
      <formula>NOT(ISERROR(SEARCH("F",R50)))</formula>
    </cfRule>
    <cfRule type="containsText" dxfId="468" priority="218" operator="containsText" text="n/a">
      <formula>NOT(ISERROR(SEARCH("n/a",R50)))</formula>
    </cfRule>
    <cfRule type="containsText" dxfId="467" priority="211" operator="containsText" text="Susp">
      <formula>NOT(ISERROR(SEARCH("Susp",R50)))</formula>
    </cfRule>
    <cfRule type="containsText" dxfId="466" priority="210" operator="containsText" text="PSG">
      <formula>NOT(ISERROR(SEARCH("PSG",R50)))</formula>
    </cfRule>
    <cfRule type="containsText" dxfId="465" priority="209" operator="containsText" text="Bend">
      <formula>NOT(ISERROR(SEARCH("Bend",R50)))</formula>
    </cfRule>
    <cfRule type="containsText" dxfId="464" priority="208" operator="containsText" text="V">
      <formula>NOT(ISERROR(SEARCH("V",R50)))</formula>
    </cfRule>
  </conditionalFormatting>
  <conditionalFormatting sqref="S7:S8">
    <cfRule type="containsText" dxfId="463" priority="69" operator="containsText" text="Maq">
      <formula>NOT(ISERROR(SEARCH("Maq",S7)))</formula>
    </cfRule>
    <cfRule type="containsText" dxfId="462" priority="70" operator="containsText" text="Incapacidad">
      <formula>NOT(ISERROR(SEARCH("Incapacidad",S7)))</formula>
    </cfRule>
    <cfRule type="containsText" dxfId="461" priority="65" operator="containsText" text="PSG">
      <formula>NOT(ISERROR(SEARCH("PSG",S7)))</formula>
    </cfRule>
    <cfRule type="containsText" dxfId="460" priority="64" operator="containsText" text="V">
      <formula>NOT(ISERROR(SEARCH("V",S7)))</formula>
    </cfRule>
    <cfRule type="containsText" dxfId="459" priority="63" operator="containsText" text="F">
      <formula>NOT(ISERROR(SEARCH("F",S7)))</formula>
    </cfRule>
    <cfRule type="containsText" dxfId="458" priority="62" operator="containsText" text="Inc">
      <formula>NOT(ISERROR(SEARCH("Inc",S7)))</formula>
    </cfRule>
    <cfRule type="containsText" dxfId="457" priority="72" operator="containsText" text="F">
      <formula>NOT(ISERROR(SEARCH("F",S7)))</formula>
    </cfRule>
    <cfRule type="containsText" dxfId="456" priority="67" operator="containsText" text="Alim">
      <formula>NOT(ISERROR(SEARCH("Alim",S7)))</formula>
    </cfRule>
    <cfRule type="containsText" dxfId="455" priority="66" operator="containsText" text="Susp">
      <formula>NOT(ISERROR(SEARCH("Susp",S7)))</formula>
    </cfRule>
    <cfRule type="containsText" dxfId="454" priority="68" operator="containsText" text="Emp">
      <formula>NOT(ISERROR(SEARCH("Emp",S7)))</formula>
    </cfRule>
    <cfRule type="containsText" dxfId="453" priority="71" operator="containsText" text="V">
      <formula>NOT(ISERROR(SEARCH("V",S7)))</formula>
    </cfRule>
    <cfRule type="containsText" dxfId="452" priority="73" operator="containsText" text="n/a">
      <formula>NOT(ISERROR(SEARCH("n/a",S7)))</formula>
    </cfRule>
  </conditionalFormatting>
  <conditionalFormatting sqref="S30:T30">
    <cfRule type="containsText" dxfId="451" priority="1" operator="containsText" text="Bend">
      <formula>NOT(ISERROR(SEARCH("Bend",S30)))</formula>
    </cfRule>
  </conditionalFormatting>
  <conditionalFormatting sqref="S49:T50">
    <cfRule type="containsText" dxfId="450" priority="270" operator="containsText" text="F">
      <formula>NOT(ISERROR(SEARCH("F",S49)))</formula>
    </cfRule>
    <cfRule type="containsText" dxfId="449" priority="271" operator="containsText" text="n/a">
      <formula>NOT(ISERROR(SEARCH("n/a",S49)))</formula>
    </cfRule>
    <cfRule type="containsText" dxfId="448" priority="268" operator="containsText" text="Incapacidad">
      <formula>NOT(ISERROR(SEARCH("Incapacidad",S49)))</formula>
    </cfRule>
    <cfRule type="containsText" dxfId="447" priority="265" operator="containsText" text="Alim">
      <formula>NOT(ISERROR(SEARCH("Alim",S49)))</formula>
    </cfRule>
    <cfRule type="containsText" dxfId="446" priority="266" operator="containsText" text="Emp">
      <formula>NOT(ISERROR(SEARCH("Emp",S49)))</formula>
    </cfRule>
    <cfRule type="containsText" dxfId="445" priority="267" operator="containsText" text="Maq">
      <formula>NOT(ISERROR(SEARCH("Maq",S49)))</formula>
    </cfRule>
    <cfRule type="containsText" dxfId="444" priority="269" operator="containsText" text="V">
      <formula>NOT(ISERROR(SEARCH("V",S49)))</formula>
    </cfRule>
  </conditionalFormatting>
  <conditionalFormatting sqref="U3:U14 M17:U18 U20:U29 S49:U50">
    <cfRule type="containsText" dxfId="443" priority="50" operator="containsText" text="PSG">
      <formula>NOT(ISERROR(SEARCH("PSG",M3)))</formula>
    </cfRule>
    <cfRule type="containsText" dxfId="442" priority="49" operator="containsText" text="Susp">
      <formula>NOT(ISERROR(SEARCH("Susp",M3)))</formula>
    </cfRule>
    <cfRule type="containsText" dxfId="441" priority="43" operator="containsText" text="Bend">
      <formula>NOT(ISERROR(SEARCH("Bend",M3)))</formula>
    </cfRule>
  </conditionalFormatting>
  <conditionalFormatting sqref="U3:U14 U17:U18 U20:U29 S49:U50">
    <cfRule type="containsText" dxfId="440" priority="51" operator="containsText" text="F">
      <formula>NOT(ISERROR(SEARCH("F",S3)))</formula>
    </cfRule>
    <cfRule type="containsText" dxfId="439" priority="48" operator="containsText" text="n/a">
      <formula>NOT(ISERROR(SEARCH("n/a",S3)))</formula>
    </cfRule>
    <cfRule type="containsText" dxfId="438" priority="45" operator="containsText" text="Emp">
      <formula>NOT(ISERROR(SEARCH("Emp",S3)))</formula>
    </cfRule>
    <cfRule type="containsText" dxfId="437" priority="44" operator="containsText" text="Maqu">
      <formula>NOT(ISERROR(SEARCH("Maqu",S3)))</formula>
    </cfRule>
    <cfRule type="containsText" dxfId="436" priority="42" operator="containsText" text="Alim">
      <formula>NOT(ISERROR(SEARCH("Alim",S3)))</formula>
    </cfRule>
    <cfRule type="containsText" dxfId="435" priority="47" operator="containsText" text="V">
      <formula>NOT(ISERROR(SEARCH("V",S3)))</formula>
    </cfRule>
    <cfRule type="containsText" dxfId="434" priority="46" operator="containsText" text="Inc">
      <formula>NOT(ISERROR(SEARCH("Inc",S3)))</formula>
    </cfRule>
  </conditionalFormatting>
  <conditionalFormatting sqref="U35:U36 U39:U45 R54">
    <cfRule type="containsText" dxfId="433" priority="82" operator="containsText" text="PSG">
      <formula>NOT(ISERROR(SEARCH("PSG",R35)))</formula>
    </cfRule>
    <cfRule type="containsText" dxfId="432" priority="75" operator="containsText" text="Bend">
      <formula>NOT(ISERROR(SEARCH("Bend",R35)))</formula>
    </cfRule>
    <cfRule type="containsText" dxfId="431" priority="76" operator="containsText" text="Maqu">
      <formula>NOT(ISERROR(SEARCH("Maqu",R35)))</formula>
    </cfRule>
    <cfRule type="containsText" dxfId="430" priority="77" operator="containsText" text="Emp">
      <formula>NOT(ISERROR(SEARCH("Emp",R35)))</formula>
    </cfRule>
    <cfRule type="containsText" dxfId="429" priority="79" operator="containsText" text="V">
      <formula>NOT(ISERROR(SEARCH("V",R35)))</formula>
    </cfRule>
    <cfRule type="containsText" dxfId="428" priority="80" operator="containsText" text="n/a">
      <formula>NOT(ISERROR(SEARCH("n/a",R35)))</formula>
    </cfRule>
    <cfRule type="containsText" dxfId="427" priority="81" operator="containsText" text="Susp">
      <formula>NOT(ISERROR(SEARCH("Susp",R35)))</formula>
    </cfRule>
    <cfRule type="containsText" dxfId="426" priority="78" operator="containsText" text="Inc">
      <formula>NOT(ISERROR(SEARCH("Inc",R35)))</formula>
    </cfRule>
    <cfRule type="containsText" dxfId="425" priority="74" operator="containsText" text="Alim">
      <formula>NOT(ISERROR(SEARCH("Alim",R35)))</formula>
    </cfRule>
    <cfRule type="containsText" dxfId="424" priority="83" operator="containsText" text="F">
      <formula>NOT(ISERROR(SEARCH("F",R35)))</formula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01" operator="containsText" id="{735CF529-6C56-4D57-B6C4-22D0E95405A5}">
            <xm:f>NOT(ISERROR(SEARCH("-",AP3)))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AP3:AP31 AP34:AP45 AP49:AP50 AP54:AP57 AP59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1AADA-1121-4224-B0E0-B9FC2D9E0F0E}">
  <dimension ref="A1:AP53"/>
  <sheetViews>
    <sheetView tabSelected="1" topLeftCell="A23" workbookViewId="0">
      <pane xSplit="1" topLeftCell="W1" activePane="topRight" state="frozen"/>
      <selection pane="topRight" activeCell="AM55" sqref="AM55"/>
    </sheetView>
  </sheetViews>
  <sheetFormatPr baseColWidth="10" defaultRowHeight="14.4" x14ac:dyDescent="0.3"/>
  <cols>
    <col min="1" max="1" width="36.109375" bestFit="1" customWidth="1"/>
    <col min="2" max="3" width="11.21875" bestFit="1" customWidth="1"/>
    <col min="4" max="4" width="11.44140625" customWidth="1"/>
    <col min="5" max="5" width="12.33203125" bestFit="1" customWidth="1"/>
    <col min="6" max="6" width="11.6640625" bestFit="1" customWidth="1"/>
    <col min="7" max="10" width="11.21875" customWidth="1"/>
    <col min="11" max="11" width="12.33203125" customWidth="1"/>
    <col min="12" max="17" width="11.21875" customWidth="1"/>
    <col min="18" max="19" width="11.33203125" customWidth="1"/>
    <col min="20" max="21" width="11.21875" customWidth="1"/>
    <col min="22" max="28" width="11.44140625" customWidth="1"/>
  </cols>
  <sheetData>
    <row r="1" spans="1:42" s="26" customFormat="1" ht="45" customHeight="1" x14ac:dyDescent="0.3">
      <c r="B1" s="48" t="s">
        <v>68</v>
      </c>
      <c r="C1" s="48"/>
      <c r="D1" s="48"/>
      <c r="E1" s="48"/>
      <c r="F1" s="48"/>
      <c r="G1" s="49" t="s">
        <v>69</v>
      </c>
      <c r="H1" s="49"/>
      <c r="I1" s="49"/>
      <c r="J1" s="49"/>
      <c r="K1" s="49"/>
      <c r="L1" s="48" t="s">
        <v>70</v>
      </c>
      <c r="M1" s="48"/>
      <c r="N1" s="48"/>
      <c r="O1" s="48"/>
      <c r="P1" s="48"/>
      <c r="Q1" s="49" t="s">
        <v>144</v>
      </c>
      <c r="R1" s="49"/>
      <c r="S1" s="49"/>
      <c r="T1" s="49"/>
      <c r="U1" s="49"/>
      <c r="V1" s="50" t="s">
        <v>0</v>
      </c>
      <c r="W1" s="50"/>
      <c r="X1" s="50"/>
      <c r="Y1" s="50"/>
      <c r="Z1" s="51" t="s">
        <v>1</v>
      </c>
      <c r="AA1" s="52" t="s">
        <v>2</v>
      </c>
      <c r="AB1" s="52"/>
      <c r="AC1" s="53" t="s">
        <v>3</v>
      </c>
      <c r="AD1" s="53"/>
      <c r="AE1" s="53"/>
      <c r="AF1" s="53"/>
      <c r="AG1" s="52" t="s">
        <v>4</v>
      </c>
      <c r="AH1" s="52"/>
      <c r="AI1" s="54" t="s">
        <v>5</v>
      </c>
      <c r="AJ1" s="54"/>
      <c r="AK1" s="55" t="s">
        <v>6</v>
      </c>
      <c r="AL1" s="55"/>
      <c r="AM1" s="55"/>
      <c r="AN1" s="55"/>
      <c r="AO1" s="55"/>
      <c r="AP1" s="47" t="s">
        <v>7</v>
      </c>
    </row>
    <row r="2" spans="1:42" ht="15.6" x14ac:dyDescent="0.3">
      <c r="A2" s="2" t="s">
        <v>8</v>
      </c>
      <c r="B2" s="3">
        <v>46115</v>
      </c>
      <c r="C2" s="3">
        <v>46118</v>
      </c>
      <c r="D2" s="3">
        <v>46119</v>
      </c>
      <c r="E2" s="3">
        <v>46120</v>
      </c>
      <c r="F2" s="3">
        <v>46121</v>
      </c>
      <c r="G2" s="25">
        <v>46122</v>
      </c>
      <c r="H2" s="25">
        <v>46125</v>
      </c>
      <c r="I2" s="25">
        <v>46126</v>
      </c>
      <c r="J2" s="25">
        <v>46127</v>
      </c>
      <c r="K2" s="25">
        <v>46128</v>
      </c>
      <c r="L2" s="3">
        <v>46129</v>
      </c>
      <c r="M2" s="3">
        <v>46132</v>
      </c>
      <c r="N2" s="3">
        <v>46133</v>
      </c>
      <c r="O2" s="3">
        <v>46134</v>
      </c>
      <c r="P2" s="3">
        <v>46135</v>
      </c>
      <c r="Q2" s="25">
        <v>46136</v>
      </c>
      <c r="R2" s="25">
        <v>46139</v>
      </c>
      <c r="S2" s="25">
        <v>46140</v>
      </c>
      <c r="T2" s="25">
        <v>46141</v>
      </c>
      <c r="U2" s="25">
        <v>46142</v>
      </c>
      <c r="V2" s="24" t="s">
        <v>68</v>
      </c>
      <c r="W2" s="24" t="s">
        <v>69</v>
      </c>
      <c r="X2" s="24" t="s">
        <v>70</v>
      </c>
      <c r="Y2" s="24" t="s">
        <v>144</v>
      </c>
      <c r="Z2" s="51"/>
      <c r="AA2" s="4" t="s">
        <v>9</v>
      </c>
      <c r="AB2" s="4" t="s">
        <v>10</v>
      </c>
      <c r="AC2" s="5" t="s">
        <v>11</v>
      </c>
      <c r="AD2" s="5" t="s">
        <v>12</v>
      </c>
      <c r="AE2" s="5" t="s">
        <v>13</v>
      </c>
      <c r="AF2" s="5" t="s">
        <v>12</v>
      </c>
      <c r="AG2" s="6">
        <v>1</v>
      </c>
      <c r="AH2" s="6">
        <v>1.1000000000000001</v>
      </c>
      <c r="AI2" s="7">
        <v>1</v>
      </c>
      <c r="AJ2" s="7">
        <v>1.1000000000000001</v>
      </c>
      <c r="AK2" s="8" t="s">
        <v>14</v>
      </c>
      <c r="AL2" s="8" t="s">
        <v>15</v>
      </c>
      <c r="AM2" s="8" t="s">
        <v>16</v>
      </c>
      <c r="AN2" s="8" t="s">
        <v>17</v>
      </c>
      <c r="AO2" s="8" t="s">
        <v>18</v>
      </c>
      <c r="AP2" s="47"/>
    </row>
    <row r="3" spans="1:42" x14ac:dyDescent="0.3">
      <c r="A3" s="9" t="s">
        <v>71</v>
      </c>
      <c r="B3" s="10" t="s">
        <v>128</v>
      </c>
      <c r="C3" s="10">
        <v>3060</v>
      </c>
      <c r="D3" s="10">
        <v>3420</v>
      </c>
      <c r="E3" s="41">
        <v>2400</v>
      </c>
      <c r="F3" s="41">
        <v>2400</v>
      </c>
      <c r="G3" s="10">
        <v>3120</v>
      </c>
      <c r="H3" s="10">
        <v>3120</v>
      </c>
      <c r="I3" s="10">
        <v>3120</v>
      </c>
      <c r="J3" s="10">
        <v>3120</v>
      </c>
      <c r="K3" s="10">
        <v>2925</v>
      </c>
      <c r="L3" s="10">
        <v>3120</v>
      </c>
      <c r="M3" s="10">
        <v>3100</v>
      </c>
      <c r="N3" s="10">
        <v>3050</v>
      </c>
      <c r="O3" s="10">
        <v>3262</v>
      </c>
      <c r="P3" s="10">
        <v>3100</v>
      </c>
      <c r="Q3" s="10">
        <v>3100</v>
      </c>
      <c r="R3" s="10">
        <v>3100</v>
      </c>
      <c r="S3" s="10">
        <v>3100</v>
      </c>
      <c r="T3" s="10">
        <v>3045</v>
      </c>
      <c r="U3" s="10">
        <v>3190</v>
      </c>
      <c r="V3">
        <f t="shared" ref="V3:V19" si="0">SUM(B3:F3)</f>
        <v>11280</v>
      </c>
      <c r="W3">
        <f t="shared" ref="W3:W18" si="1">SUM(G3:K3)</f>
        <v>15405</v>
      </c>
      <c r="X3">
        <f t="shared" ref="X3:X19" si="2">SUM(L3:P3)</f>
        <v>15632</v>
      </c>
      <c r="Y3">
        <f t="shared" ref="Y3:Y19" si="3">SUM(Q3:U3)</f>
        <v>15535</v>
      </c>
      <c r="Z3">
        <f t="shared" ref="Z3:Z19" si="4">SUM(V3:Y3)</f>
        <v>57852</v>
      </c>
      <c r="AA3" s="11">
        <f>Z3/20</f>
        <v>2892.6</v>
      </c>
      <c r="AB3" s="12">
        <f>Z3/(AH3/110)/100</f>
        <v>1.0347512195121951</v>
      </c>
      <c r="AC3">
        <v>17</v>
      </c>
      <c r="AD3">
        <f t="shared" ref="AD3:AD19" si="5">3000*AC3</f>
        <v>51000</v>
      </c>
      <c r="AE3">
        <v>2</v>
      </c>
      <c r="AF3">
        <f t="shared" ref="AF3:AF19" si="6">2400*AE3</f>
        <v>4800</v>
      </c>
      <c r="AG3">
        <f t="shared" ref="AG3:AG19" si="7">AD3+AF3</f>
        <v>55800</v>
      </c>
      <c r="AH3">
        <f t="shared" ref="AH3:AH19" si="8">(AC3+AE3)*300+AG3</f>
        <v>61500</v>
      </c>
      <c r="AI3">
        <f>Z3-AG3</f>
        <v>2052</v>
      </c>
      <c r="AK3" s="13">
        <v>1650</v>
      </c>
      <c r="AL3" s="13">
        <f t="shared" ref="AL3:AL19" si="9">AI3*0.1</f>
        <v>205.20000000000002</v>
      </c>
      <c r="AM3" s="13">
        <f t="shared" ref="AM3:AM19" si="10">AJ3*0.12</f>
        <v>0</v>
      </c>
      <c r="AN3" s="13">
        <v>0</v>
      </c>
      <c r="AO3" s="27">
        <f t="shared" ref="AO3:AO19" si="11">AK3+AL3+AM3-AN3</f>
        <v>1855.2</v>
      </c>
      <c r="AP3">
        <f t="shared" ref="AP3:AP19" si="12">Z3-AG3</f>
        <v>2052</v>
      </c>
    </row>
    <row r="4" spans="1:42" x14ac:dyDescent="0.3">
      <c r="A4" s="9" t="s">
        <v>72</v>
      </c>
      <c r="B4" s="10" t="s">
        <v>128</v>
      </c>
      <c r="C4" s="10">
        <v>3060</v>
      </c>
      <c r="D4" s="10">
        <v>3060</v>
      </c>
      <c r="E4" s="41">
        <v>2700</v>
      </c>
      <c r="F4" s="41">
        <v>2700</v>
      </c>
      <c r="G4" s="10">
        <v>3040</v>
      </c>
      <c r="H4" s="10">
        <v>3120</v>
      </c>
      <c r="I4" s="10">
        <v>3120</v>
      </c>
      <c r="J4" s="10">
        <v>3120</v>
      </c>
      <c r="K4" s="10">
        <v>3120</v>
      </c>
      <c r="L4" s="10">
        <v>3120</v>
      </c>
      <c r="M4" s="10">
        <v>3120</v>
      </c>
      <c r="N4" s="10">
        <v>3000</v>
      </c>
      <c r="O4" s="10">
        <v>3000</v>
      </c>
      <c r="P4" s="10" t="s">
        <v>24</v>
      </c>
      <c r="Q4" s="10" t="s">
        <v>24</v>
      </c>
      <c r="R4" s="10" t="s">
        <v>24</v>
      </c>
      <c r="S4" s="10">
        <v>3000</v>
      </c>
      <c r="T4" s="10">
        <v>3045</v>
      </c>
      <c r="U4" s="10">
        <v>3045</v>
      </c>
      <c r="V4">
        <f t="shared" ref="V4:V17" si="13">SUM(B4:F4)</f>
        <v>11520</v>
      </c>
      <c r="W4">
        <f t="shared" ref="W4:W17" si="14">SUM(G4:K4)</f>
        <v>15520</v>
      </c>
      <c r="X4">
        <f t="shared" ref="X4:X17" si="15">SUM(L4:P4)</f>
        <v>12240</v>
      </c>
      <c r="Y4">
        <f t="shared" ref="Y4:Y17" si="16">SUM(Q4:U4)</f>
        <v>9090</v>
      </c>
      <c r="Z4">
        <f t="shared" ref="Z4:Z17" si="17">SUM(V4:Y4)</f>
        <v>48370</v>
      </c>
      <c r="AA4" s="11">
        <f t="shared" ref="AA4:AA17" si="18">Z4/20</f>
        <v>2418.5</v>
      </c>
      <c r="AB4" s="12">
        <f t="shared" ref="AB4:AB17" si="19">Z4/(AH4/110)/100</f>
        <v>1.0311434108527131</v>
      </c>
      <c r="AC4">
        <v>14</v>
      </c>
      <c r="AD4">
        <f t="shared" ref="AD4:AD17" si="20">3000*AC4</f>
        <v>42000</v>
      </c>
      <c r="AE4">
        <v>2</v>
      </c>
      <c r="AF4">
        <f t="shared" ref="AF4:AF17" si="21">2400*AE4</f>
        <v>4800</v>
      </c>
      <c r="AG4">
        <f t="shared" ref="AG4:AG17" si="22">AD4+AF4</f>
        <v>46800</v>
      </c>
      <c r="AH4">
        <f t="shared" ref="AH4:AH17" si="23">(AC4+AE4)*300+AG4</f>
        <v>51600</v>
      </c>
      <c r="AI4">
        <f>Z4-AG4</f>
        <v>1570</v>
      </c>
      <c r="AK4" s="13">
        <v>1650</v>
      </c>
      <c r="AL4" s="13">
        <f t="shared" ref="AL4:AL17" si="24">AI4*0.1</f>
        <v>157</v>
      </c>
      <c r="AM4" s="13">
        <f t="shared" ref="AM4:AM17" si="25">AJ4*0.12</f>
        <v>0</v>
      </c>
      <c r="AN4" s="13">
        <v>0</v>
      </c>
      <c r="AO4" s="27">
        <f t="shared" ref="AO4:AO17" si="26">AK4+AL4+AM4-AN4</f>
        <v>1807</v>
      </c>
      <c r="AP4">
        <f t="shared" ref="AP4:AP17" si="27">Z4-AG4</f>
        <v>1570</v>
      </c>
    </row>
    <row r="5" spans="1:42" x14ac:dyDescent="0.3">
      <c r="A5" s="9" t="s">
        <v>73</v>
      </c>
      <c r="B5" s="10" t="s">
        <v>128</v>
      </c>
      <c r="C5" s="10">
        <v>3000</v>
      </c>
      <c r="D5" s="10">
        <v>3300</v>
      </c>
      <c r="E5" s="41">
        <v>2700</v>
      </c>
      <c r="F5" s="10" t="s">
        <v>23</v>
      </c>
      <c r="G5" s="10">
        <v>2700</v>
      </c>
      <c r="H5" s="10">
        <v>2610</v>
      </c>
      <c r="I5" s="10">
        <v>3120</v>
      </c>
      <c r="J5" s="10">
        <v>390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>
        <f t="shared" si="13"/>
        <v>9000</v>
      </c>
      <c r="W5">
        <f t="shared" si="14"/>
        <v>8820</v>
      </c>
      <c r="X5">
        <f t="shared" si="15"/>
        <v>0</v>
      </c>
      <c r="Y5">
        <f t="shared" si="16"/>
        <v>0</v>
      </c>
      <c r="Z5">
        <f t="shared" si="17"/>
        <v>17820</v>
      </c>
      <c r="AA5" s="11">
        <f t="shared" si="18"/>
        <v>891</v>
      </c>
      <c r="AB5" s="12">
        <f t="shared" si="19"/>
        <v>0.31263157894736843</v>
      </c>
      <c r="AC5">
        <v>19</v>
      </c>
      <c r="AD5">
        <f t="shared" si="20"/>
        <v>57000</v>
      </c>
      <c r="AF5">
        <f t="shared" si="21"/>
        <v>0</v>
      </c>
      <c r="AG5">
        <f t="shared" si="22"/>
        <v>57000</v>
      </c>
      <c r="AH5">
        <f t="shared" si="23"/>
        <v>62700</v>
      </c>
      <c r="AK5" s="13">
        <v>0</v>
      </c>
      <c r="AL5" s="13">
        <f t="shared" si="24"/>
        <v>0</v>
      </c>
      <c r="AM5" s="13">
        <f t="shared" si="25"/>
        <v>0</v>
      </c>
      <c r="AN5" s="13">
        <v>0</v>
      </c>
      <c r="AO5" s="27">
        <f t="shared" si="26"/>
        <v>0</v>
      </c>
      <c r="AP5">
        <f t="shared" si="27"/>
        <v>-39180</v>
      </c>
    </row>
    <row r="6" spans="1:42" x14ac:dyDescent="0.3">
      <c r="A6" s="9" t="s">
        <v>74</v>
      </c>
      <c r="B6" s="10" t="s">
        <v>128</v>
      </c>
      <c r="C6" s="10">
        <v>2700</v>
      </c>
      <c r="D6" s="10">
        <v>3780</v>
      </c>
      <c r="E6" s="41">
        <v>2400</v>
      </c>
      <c r="F6" s="41">
        <v>2400</v>
      </c>
      <c r="G6" s="10">
        <v>3060</v>
      </c>
      <c r="H6" s="10">
        <v>3045</v>
      </c>
      <c r="I6" s="10">
        <v>3045</v>
      </c>
      <c r="J6" s="10">
        <v>3335</v>
      </c>
      <c r="K6" s="10">
        <v>3045</v>
      </c>
      <c r="L6" s="10">
        <v>3045</v>
      </c>
      <c r="M6" s="10">
        <v>3045</v>
      </c>
      <c r="N6" s="10">
        <v>3045</v>
      </c>
      <c r="O6" s="10">
        <v>3045</v>
      </c>
      <c r="P6" s="10">
        <v>3335</v>
      </c>
      <c r="Q6" s="10">
        <v>3024</v>
      </c>
      <c r="R6" s="10">
        <v>3024</v>
      </c>
      <c r="S6" s="10">
        <v>3024</v>
      </c>
      <c r="T6" s="10">
        <v>3168</v>
      </c>
      <c r="U6" s="10">
        <v>3168</v>
      </c>
      <c r="V6">
        <f t="shared" si="13"/>
        <v>11280</v>
      </c>
      <c r="W6">
        <f t="shared" si="14"/>
        <v>15530</v>
      </c>
      <c r="X6">
        <f t="shared" si="15"/>
        <v>15515</v>
      </c>
      <c r="Y6">
        <f t="shared" si="16"/>
        <v>15408</v>
      </c>
      <c r="Z6">
        <f t="shared" si="17"/>
        <v>57733</v>
      </c>
      <c r="AA6" s="11">
        <f t="shared" si="18"/>
        <v>2886.65</v>
      </c>
      <c r="AB6" s="12">
        <f t="shared" si="19"/>
        <v>1.0326227642276422</v>
      </c>
      <c r="AC6">
        <v>17</v>
      </c>
      <c r="AD6">
        <f t="shared" si="20"/>
        <v>51000</v>
      </c>
      <c r="AE6">
        <v>2</v>
      </c>
      <c r="AF6">
        <f t="shared" si="21"/>
        <v>4800</v>
      </c>
      <c r="AG6">
        <f t="shared" si="22"/>
        <v>55800</v>
      </c>
      <c r="AH6">
        <f t="shared" si="23"/>
        <v>61500</v>
      </c>
      <c r="AI6">
        <f>Z6-AG6</f>
        <v>1933</v>
      </c>
      <c r="AK6" s="13">
        <v>1650</v>
      </c>
      <c r="AL6" s="13">
        <f t="shared" si="24"/>
        <v>193.3</v>
      </c>
      <c r="AM6" s="13">
        <f t="shared" si="25"/>
        <v>0</v>
      </c>
      <c r="AN6" s="13">
        <v>0</v>
      </c>
      <c r="AO6" s="27">
        <f t="shared" si="26"/>
        <v>1843.3</v>
      </c>
      <c r="AP6">
        <f t="shared" si="27"/>
        <v>1933</v>
      </c>
    </row>
    <row r="7" spans="1:42" x14ac:dyDescent="0.3">
      <c r="A7" s="9" t="s">
        <v>75</v>
      </c>
      <c r="B7" s="10" t="s">
        <v>128</v>
      </c>
      <c r="C7" s="10">
        <v>3420</v>
      </c>
      <c r="D7" s="10">
        <v>3240</v>
      </c>
      <c r="E7" s="41">
        <v>2700</v>
      </c>
      <c r="F7" s="41">
        <v>2700</v>
      </c>
      <c r="G7" s="10">
        <v>3100</v>
      </c>
      <c r="H7" s="10" t="s">
        <v>80</v>
      </c>
      <c r="I7" s="10">
        <v>3480</v>
      </c>
      <c r="J7" s="10">
        <v>3480</v>
      </c>
      <c r="K7" s="10">
        <v>2900</v>
      </c>
      <c r="L7" s="10">
        <v>3335</v>
      </c>
      <c r="M7" s="10">
        <v>3100</v>
      </c>
      <c r="N7" s="10" t="s">
        <v>31</v>
      </c>
      <c r="O7" s="10" t="s">
        <v>31</v>
      </c>
      <c r="P7" s="10">
        <v>3100</v>
      </c>
      <c r="Q7" s="10">
        <v>3100</v>
      </c>
      <c r="R7" s="10">
        <v>3100</v>
      </c>
      <c r="S7" s="10">
        <v>3100</v>
      </c>
      <c r="T7" s="10">
        <v>3190</v>
      </c>
      <c r="U7" s="10">
        <v>2924</v>
      </c>
      <c r="V7">
        <f t="shared" si="13"/>
        <v>12060</v>
      </c>
      <c r="W7">
        <f t="shared" si="14"/>
        <v>12960</v>
      </c>
      <c r="X7">
        <f t="shared" si="15"/>
        <v>9535</v>
      </c>
      <c r="Y7">
        <f t="shared" si="16"/>
        <v>15414</v>
      </c>
      <c r="Z7">
        <f t="shared" si="17"/>
        <v>49969</v>
      </c>
      <c r="AA7" s="11">
        <f t="shared" si="18"/>
        <v>2498.4499999999998</v>
      </c>
      <c r="AB7" s="12">
        <f t="shared" si="19"/>
        <v>0.89375447154471543</v>
      </c>
      <c r="AC7">
        <v>17</v>
      </c>
      <c r="AD7">
        <f t="shared" si="20"/>
        <v>51000</v>
      </c>
      <c r="AE7">
        <v>2</v>
      </c>
      <c r="AF7">
        <f t="shared" si="21"/>
        <v>4800</v>
      </c>
      <c r="AG7">
        <f t="shared" si="22"/>
        <v>55800</v>
      </c>
      <c r="AH7">
        <f t="shared" si="23"/>
        <v>61500</v>
      </c>
      <c r="AK7" s="13">
        <v>0</v>
      </c>
      <c r="AL7" s="13">
        <f t="shared" si="24"/>
        <v>0</v>
      </c>
      <c r="AM7" s="13">
        <f t="shared" si="25"/>
        <v>0</v>
      </c>
      <c r="AN7" s="13">
        <v>0</v>
      </c>
      <c r="AO7" s="27">
        <f t="shared" si="26"/>
        <v>0</v>
      </c>
      <c r="AP7">
        <f t="shared" si="27"/>
        <v>-5831</v>
      </c>
    </row>
    <row r="8" spans="1:42" x14ac:dyDescent="0.3">
      <c r="A8" s="9" t="s">
        <v>76</v>
      </c>
      <c r="B8" s="10" t="s">
        <v>128</v>
      </c>
      <c r="C8" s="10">
        <v>3600</v>
      </c>
      <c r="D8" s="10">
        <v>3240</v>
      </c>
      <c r="E8" s="41">
        <v>3000</v>
      </c>
      <c r="F8" s="41">
        <v>3600</v>
      </c>
      <c r="G8" s="10">
        <v>3120</v>
      </c>
      <c r="H8" s="10">
        <v>3510</v>
      </c>
      <c r="I8" s="10">
        <v>3900</v>
      </c>
      <c r="J8" s="10">
        <v>3120</v>
      </c>
      <c r="K8" s="10">
        <v>3120</v>
      </c>
      <c r="L8" s="10">
        <v>3120</v>
      </c>
      <c r="M8" s="10">
        <v>3360</v>
      </c>
      <c r="N8" s="10">
        <v>3240</v>
      </c>
      <c r="O8" s="10">
        <v>3240</v>
      </c>
      <c r="P8" s="10">
        <v>3600</v>
      </c>
      <c r="Q8" s="10">
        <v>3120</v>
      </c>
      <c r="R8" s="10">
        <v>2880</v>
      </c>
      <c r="S8" s="10">
        <v>2760</v>
      </c>
      <c r="T8" s="10">
        <v>3335</v>
      </c>
      <c r="U8" s="10">
        <v>3045</v>
      </c>
      <c r="V8">
        <f t="shared" si="13"/>
        <v>13440</v>
      </c>
      <c r="W8">
        <f t="shared" si="14"/>
        <v>16770</v>
      </c>
      <c r="X8">
        <f t="shared" si="15"/>
        <v>16560</v>
      </c>
      <c r="Y8">
        <f t="shared" si="16"/>
        <v>15140</v>
      </c>
      <c r="Z8">
        <f t="shared" si="17"/>
        <v>61910</v>
      </c>
      <c r="AA8" s="11">
        <f t="shared" si="18"/>
        <v>3095.5</v>
      </c>
      <c r="AB8" s="12">
        <f t="shared" si="19"/>
        <v>1.1073333333333333</v>
      </c>
      <c r="AC8">
        <v>17</v>
      </c>
      <c r="AD8">
        <f t="shared" si="20"/>
        <v>51000</v>
      </c>
      <c r="AE8">
        <v>2</v>
      </c>
      <c r="AF8">
        <f t="shared" si="21"/>
        <v>4800</v>
      </c>
      <c r="AG8">
        <f t="shared" si="22"/>
        <v>55800</v>
      </c>
      <c r="AH8">
        <f t="shared" si="23"/>
        <v>61500</v>
      </c>
      <c r="AI8">
        <f>AH8-AG8</f>
        <v>5700</v>
      </c>
      <c r="AJ8">
        <f>Z8-AH8</f>
        <v>410</v>
      </c>
      <c r="AK8" s="13">
        <v>1650</v>
      </c>
      <c r="AL8" s="13">
        <f t="shared" si="24"/>
        <v>570</v>
      </c>
      <c r="AM8" s="13">
        <f t="shared" si="25"/>
        <v>49.199999999999996</v>
      </c>
      <c r="AN8" s="13">
        <v>0</v>
      </c>
      <c r="AO8" s="27">
        <f t="shared" si="26"/>
        <v>2269.1999999999998</v>
      </c>
      <c r="AP8">
        <f t="shared" si="27"/>
        <v>6110</v>
      </c>
    </row>
    <row r="9" spans="1:42" x14ac:dyDescent="0.3">
      <c r="A9" s="9" t="s">
        <v>77</v>
      </c>
      <c r="B9" s="10" t="s">
        <v>128</v>
      </c>
      <c r="C9" s="10">
        <v>3060</v>
      </c>
      <c r="D9" s="10">
        <v>3060</v>
      </c>
      <c r="E9" s="41">
        <v>2400</v>
      </c>
      <c r="F9" s="41">
        <v>2400</v>
      </c>
      <c r="G9" s="10">
        <v>3060</v>
      </c>
      <c r="H9" s="10">
        <v>3045</v>
      </c>
      <c r="I9" s="10">
        <v>3045</v>
      </c>
      <c r="J9" s="10">
        <v>3045</v>
      </c>
      <c r="K9" s="10">
        <v>3045</v>
      </c>
      <c r="L9" s="10">
        <v>3045</v>
      </c>
      <c r="M9" s="10">
        <v>3045</v>
      </c>
      <c r="N9" s="10">
        <v>3045</v>
      </c>
      <c r="O9" s="10">
        <v>3045</v>
      </c>
      <c r="P9" s="10">
        <v>3045</v>
      </c>
      <c r="Q9" s="10">
        <v>3024</v>
      </c>
      <c r="R9" s="10">
        <v>3024</v>
      </c>
      <c r="S9" s="10">
        <v>3024</v>
      </c>
      <c r="T9" s="10" t="s">
        <v>24</v>
      </c>
      <c r="U9" s="10" t="s">
        <v>24</v>
      </c>
      <c r="V9">
        <f t="shared" si="13"/>
        <v>10920</v>
      </c>
      <c r="W9">
        <f t="shared" si="14"/>
        <v>15240</v>
      </c>
      <c r="X9">
        <f t="shared" si="15"/>
        <v>15225</v>
      </c>
      <c r="Y9">
        <f t="shared" si="16"/>
        <v>9072</v>
      </c>
      <c r="Z9">
        <f t="shared" si="17"/>
        <v>50457</v>
      </c>
      <c r="AA9" s="11">
        <f t="shared" si="18"/>
        <v>2522.85</v>
      </c>
      <c r="AB9" s="12">
        <f t="shared" si="19"/>
        <v>1.0109781420765027</v>
      </c>
      <c r="AC9">
        <v>15</v>
      </c>
      <c r="AD9">
        <f t="shared" si="20"/>
        <v>45000</v>
      </c>
      <c r="AE9">
        <v>2</v>
      </c>
      <c r="AF9">
        <f t="shared" si="21"/>
        <v>4800</v>
      </c>
      <c r="AG9">
        <f t="shared" si="22"/>
        <v>49800</v>
      </c>
      <c r="AH9">
        <f t="shared" si="23"/>
        <v>54900</v>
      </c>
      <c r="AI9">
        <f>Z9-AG9</f>
        <v>657</v>
      </c>
      <c r="AK9" s="13">
        <v>1650</v>
      </c>
      <c r="AL9" s="13">
        <f t="shared" si="24"/>
        <v>65.7</v>
      </c>
      <c r="AM9" s="13">
        <f t="shared" si="25"/>
        <v>0</v>
      </c>
      <c r="AN9" s="13">
        <v>0</v>
      </c>
      <c r="AO9" s="27">
        <f t="shared" si="26"/>
        <v>1715.7</v>
      </c>
      <c r="AP9">
        <f t="shared" si="27"/>
        <v>657</v>
      </c>
    </row>
    <row r="10" spans="1:42" x14ac:dyDescent="0.3">
      <c r="A10" s="9" t="s">
        <v>78</v>
      </c>
      <c r="B10" s="10" t="s">
        <v>128</v>
      </c>
      <c r="C10" s="10">
        <v>3300</v>
      </c>
      <c r="D10" s="10">
        <v>3420</v>
      </c>
      <c r="E10" s="41">
        <v>3000</v>
      </c>
      <c r="F10" s="41">
        <v>2700</v>
      </c>
      <c r="G10" s="10">
        <v>3040</v>
      </c>
      <c r="H10" s="10">
        <v>3315</v>
      </c>
      <c r="I10" s="10">
        <v>3705</v>
      </c>
      <c r="J10" s="10">
        <v>3510</v>
      </c>
      <c r="K10" s="10">
        <v>3510</v>
      </c>
      <c r="L10" s="10">
        <v>3120</v>
      </c>
      <c r="M10" s="10">
        <v>3720</v>
      </c>
      <c r="N10" s="10">
        <v>3240</v>
      </c>
      <c r="O10" s="10">
        <v>3480</v>
      </c>
      <c r="P10" s="10">
        <v>3335</v>
      </c>
      <c r="Q10" s="10">
        <v>3100</v>
      </c>
      <c r="R10" s="10">
        <v>3720</v>
      </c>
      <c r="S10" s="10" t="s">
        <v>24</v>
      </c>
      <c r="T10" s="10">
        <v>3190</v>
      </c>
      <c r="U10" s="10">
        <v>3045</v>
      </c>
      <c r="V10">
        <f t="shared" si="13"/>
        <v>12420</v>
      </c>
      <c r="W10">
        <f t="shared" si="14"/>
        <v>17080</v>
      </c>
      <c r="X10">
        <f t="shared" si="15"/>
        <v>16895</v>
      </c>
      <c r="Y10">
        <f t="shared" si="16"/>
        <v>13055</v>
      </c>
      <c r="Z10">
        <f t="shared" si="17"/>
        <v>59450</v>
      </c>
      <c r="AA10" s="11">
        <f t="shared" si="18"/>
        <v>2972.5</v>
      </c>
      <c r="AB10" s="12">
        <f t="shared" si="19"/>
        <v>1.1236254295532646</v>
      </c>
      <c r="AC10">
        <v>16</v>
      </c>
      <c r="AD10">
        <f t="shared" si="20"/>
        <v>48000</v>
      </c>
      <c r="AE10">
        <v>2</v>
      </c>
      <c r="AF10">
        <f t="shared" si="21"/>
        <v>4800</v>
      </c>
      <c r="AG10">
        <f t="shared" si="22"/>
        <v>52800</v>
      </c>
      <c r="AH10">
        <f t="shared" si="23"/>
        <v>58200</v>
      </c>
      <c r="AI10">
        <f>AH10-AG10</f>
        <v>5400</v>
      </c>
      <c r="AJ10">
        <f>Z10-AH10</f>
        <v>1250</v>
      </c>
      <c r="AK10" s="13">
        <v>1650</v>
      </c>
      <c r="AL10" s="13">
        <f t="shared" si="24"/>
        <v>540</v>
      </c>
      <c r="AM10" s="13">
        <f t="shared" si="25"/>
        <v>150</v>
      </c>
      <c r="AN10" s="13">
        <v>0</v>
      </c>
      <c r="AO10" s="27">
        <f t="shared" si="26"/>
        <v>2340</v>
      </c>
      <c r="AP10">
        <f t="shared" si="27"/>
        <v>6650</v>
      </c>
    </row>
    <row r="11" spans="1:42" x14ac:dyDescent="0.3">
      <c r="A11" s="9" t="s">
        <v>79</v>
      </c>
      <c r="B11" s="10" t="s">
        <v>128</v>
      </c>
      <c r="C11" t="s">
        <v>130</v>
      </c>
      <c r="D11" t="s">
        <v>130</v>
      </c>
      <c r="E11" s="10" t="s">
        <v>24</v>
      </c>
      <c r="F11" s="41">
        <v>3300</v>
      </c>
      <c r="G11" s="10">
        <v>3720</v>
      </c>
      <c r="H11" s="10">
        <v>3620</v>
      </c>
      <c r="I11" s="10">
        <v>3480</v>
      </c>
      <c r="J11" s="10">
        <v>4060</v>
      </c>
      <c r="K11" s="10">
        <v>4060</v>
      </c>
      <c r="L11" s="10">
        <v>3045</v>
      </c>
      <c r="M11" s="10">
        <v>4030</v>
      </c>
      <c r="N11" s="10">
        <v>4030</v>
      </c>
      <c r="O11" s="10">
        <f>930+4030</f>
        <v>4960</v>
      </c>
      <c r="P11" s="10">
        <v>4340</v>
      </c>
      <c r="Q11" s="10">
        <v>4030</v>
      </c>
      <c r="R11" s="10">
        <v>4030</v>
      </c>
      <c r="S11" s="10">
        <v>4030</v>
      </c>
      <c r="T11" s="10">
        <v>3190</v>
      </c>
      <c r="U11" s="10">
        <v>3480</v>
      </c>
      <c r="V11">
        <f t="shared" si="13"/>
        <v>3300</v>
      </c>
      <c r="W11">
        <f t="shared" si="14"/>
        <v>18940</v>
      </c>
      <c r="X11">
        <f t="shared" si="15"/>
        <v>20405</v>
      </c>
      <c r="Y11">
        <f t="shared" si="16"/>
        <v>18760</v>
      </c>
      <c r="Z11">
        <f t="shared" si="17"/>
        <v>61405</v>
      </c>
      <c r="AA11" s="11">
        <f t="shared" si="18"/>
        <v>3070.25</v>
      </c>
      <c r="AB11" s="12">
        <f t="shared" si="19"/>
        <v>1.148732993197279</v>
      </c>
      <c r="AC11">
        <v>17</v>
      </c>
      <c r="AD11">
        <f t="shared" si="20"/>
        <v>51000</v>
      </c>
      <c r="AE11">
        <v>1</v>
      </c>
      <c r="AF11">
        <f t="shared" si="21"/>
        <v>2400</v>
      </c>
      <c r="AG11">
        <f t="shared" si="22"/>
        <v>53400</v>
      </c>
      <c r="AH11">
        <f t="shared" si="23"/>
        <v>58800</v>
      </c>
      <c r="AI11">
        <f>AH11-AG11</f>
        <v>5400</v>
      </c>
      <c r="AJ11">
        <f>Z11-AH11</f>
        <v>2605</v>
      </c>
      <c r="AK11" s="13">
        <v>1650</v>
      </c>
      <c r="AL11" s="13">
        <f t="shared" si="24"/>
        <v>540</v>
      </c>
      <c r="AM11" s="13">
        <f t="shared" si="25"/>
        <v>312.59999999999997</v>
      </c>
      <c r="AN11" s="13">
        <v>0</v>
      </c>
      <c r="AO11" s="27">
        <f t="shared" si="26"/>
        <v>2502.6</v>
      </c>
      <c r="AP11">
        <f t="shared" si="27"/>
        <v>8005</v>
      </c>
    </row>
    <row r="12" spans="1:42" x14ac:dyDescent="0.3">
      <c r="A12" s="9" t="s">
        <v>81</v>
      </c>
      <c r="B12" s="10" t="s">
        <v>128</v>
      </c>
      <c r="C12" s="10">
        <v>3900</v>
      </c>
      <c r="D12" s="10">
        <v>3960</v>
      </c>
      <c r="E12" s="41">
        <v>2700</v>
      </c>
      <c r="F12" s="10">
        <f>2610+300</f>
        <v>2910</v>
      </c>
      <c r="G12" s="10">
        <v>2610</v>
      </c>
      <c r="H12" s="10">
        <v>3900</v>
      </c>
      <c r="I12" s="10">
        <v>4290</v>
      </c>
      <c r="J12" s="10">
        <v>3900</v>
      </c>
      <c r="K12" s="10">
        <v>3120</v>
      </c>
      <c r="L12" s="10">
        <v>3120</v>
      </c>
      <c r="M12" s="10" t="s">
        <v>80</v>
      </c>
      <c r="N12" s="10">
        <v>3240</v>
      </c>
      <c r="O12" s="10">
        <v>3770</v>
      </c>
      <c r="P12" s="10">
        <v>3600</v>
      </c>
      <c r="Q12" s="10">
        <v>3100</v>
      </c>
      <c r="R12" s="10">
        <v>3430</v>
      </c>
      <c r="S12" s="10">
        <v>4030</v>
      </c>
      <c r="T12" s="10">
        <v>3770</v>
      </c>
      <c r="U12" s="10">
        <v>3234</v>
      </c>
      <c r="V12">
        <f t="shared" si="13"/>
        <v>13470</v>
      </c>
      <c r="W12">
        <f t="shared" si="14"/>
        <v>17820</v>
      </c>
      <c r="X12">
        <f t="shared" si="15"/>
        <v>13730</v>
      </c>
      <c r="Y12">
        <f t="shared" si="16"/>
        <v>17564</v>
      </c>
      <c r="Z12">
        <f t="shared" si="17"/>
        <v>62584</v>
      </c>
      <c r="AA12" s="11">
        <f t="shared" si="18"/>
        <v>3129.2</v>
      </c>
      <c r="AB12" s="12">
        <f t="shared" si="19"/>
        <v>1.1085732689210952</v>
      </c>
      <c r="AC12">
        <v>18</v>
      </c>
      <c r="AD12">
        <f t="shared" si="20"/>
        <v>54000</v>
      </c>
      <c r="AE12">
        <v>1</v>
      </c>
      <c r="AF12">
        <f t="shared" si="21"/>
        <v>2400</v>
      </c>
      <c r="AG12">
        <f t="shared" si="22"/>
        <v>56400</v>
      </c>
      <c r="AH12">
        <f t="shared" si="23"/>
        <v>62100</v>
      </c>
      <c r="AI12">
        <f>AH12-AG12</f>
        <v>5700</v>
      </c>
      <c r="AJ12">
        <f>Z12-AH12</f>
        <v>484</v>
      </c>
      <c r="AK12" s="13">
        <v>1650</v>
      </c>
      <c r="AL12" s="13">
        <f t="shared" si="24"/>
        <v>570</v>
      </c>
      <c r="AM12" s="13">
        <f t="shared" si="25"/>
        <v>58.08</v>
      </c>
      <c r="AN12" s="13">
        <v>0</v>
      </c>
      <c r="AO12" s="27">
        <f t="shared" si="26"/>
        <v>2278.08</v>
      </c>
      <c r="AP12">
        <f t="shared" si="27"/>
        <v>6184</v>
      </c>
    </row>
    <row r="13" spans="1:42" x14ac:dyDescent="0.3">
      <c r="A13" s="9" t="s">
        <v>82</v>
      </c>
      <c r="B13" s="10" t="s">
        <v>128</v>
      </c>
      <c r="C13" s="10">
        <v>3060</v>
      </c>
      <c r="D13" s="10">
        <v>3060</v>
      </c>
      <c r="E13" s="10" t="s">
        <v>24</v>
      </c>
      <c r="F13" s="41">
        <v>3000</v>
      </c>
      <c r="G13" s="10">
        <v>3120</v>
      </c>
      <c r="H13" s="10">
        <v>3705</v>
      </c>
      <c r="I13" s="10">
        <v>3315</v>
      </c>
      <c r="J13" s="10" t="s">
        <v>24</v>
      </c>
      <c r="K13" s="10">
        <v>2925</v>
      </c>
      <c r="L13" s="10">
        <v>3315</v>
      </c>
      <c r="M13" s="10">
        <v>3410</v>
      </c>
      <c r="N13" s="10">
        <v>2916</v>
      </c>
      <c r="O13" s="10" t="s">
        <v>24</v>
      </c>
      <c r="P13" s="10">
        <v>3045</v>
      </c>
      <c r="Q13" s="10">
        <v>3100</v>
      </c>
      <c r="R13" s="10">
        <v>3410</v>
      </c>
      <c r="S13" s="10">
        <v>2790</v>
      </c>
      <c r="T13" s="10">
        <v>3190</v>
      </c>
      <c r="U13" s="10">
        <v>3045</v>
      </c>
      <c r="V13">
        <f t="shared" si="13"/>
        <v>9120</v>
      </c>
      <c r="W13">
        <f t="shared" si="14"/>
        <v>13065</v>
      </c>
      <c r="X13">
        <f t="shared" si="15"/>
        <v>12686</v>
      </c>
      <c r="Y13">
        <f t="shared" si="16"/>
        <v>15535</v>
      </c>
      <c r="Z13">
        <f t="shared" si="17"/>
        <v>50406</v>
      </c>
      <c r="AA13" s="11">
        <f t="shared" si="18"/>
        <v>2520.3000000000002</v>
      </c>
      <c r="AB13" s="12">
        <f t="shared" si="19"/>
        <v>1.0621954022988505</v>
      </c>
      <c r="AC13">
        <v>15</v>
      </c>
      <c r="AD13">
        <f t="shared" si="20"/>
        <v>45000</v>
      </c>
      <c r="AE13">
        <v>1</v>
      </c>
      <c r="AF13">
        <f t="shared" si="21"/>
        <v>2400</v>
      </c>
      <c r="AG13">
        <f t="shared" si="22"/>
        <v>47400</v>
      </c>
      <c r="AH13">
        <f t="shared" si="23"/>
        <v>52200</v>
      </c>
      <c r="AI13">
        <f>Z13-AG13</f>
        <v>3006</v>
      </c>
      <c r="AK13" s="13">
        <v>1650</v>
      </c>
      <c r="AL13" s="13">
        <f t="shared" si="24"/>
        <v>300.60000000000002</v>
      </c>
      <c r="AM13" s="13">
        <f t="shared" si="25"/>
        <v>0</v>
      </c>
      <c r="AN13" s="13">
        <v>0</v>
      </c>
      <c r="AO13" s="27">
        <f t="shared" si="26"/>
        <v>1950.6</v>
      </c>
      <c r="AP13">
        <f t="shared" si="27"/>
        <v>3006</v>
      </c>
    </row>
    <row r="14" spans="1:42" x14ac:dyDescent="0.3">
      <c r="A14" s="9" t="s">
        <v>137</v>
      </c>
      <c r="B14" s="10" t="s">
        <v>128</v>
      </c>
      <c r="C14" s="10" t="s">
        <v>133</v>
      </c>
      <c r="D14" s="10" t="s">
        <v>133</v>
      </c>
      <c r="E14" s="10" t="s">
        <v>133</v>
      </c>
      <c r="F14" s="10" t="s">
        <v>133</v>
      </c>
      <c r="G14" s="10" t="s">
        <v>133</v>
      </c>
      <c r="H14" s="10" t="s">
        <v>133</v>
      </c>
      <c r="I14" s="10" t="s">
        <v>133</v>
      </c>
      <c r="J14" s="10" t="s">
        <v>133</v>
      </c>
      <c r="K14" s="10" t="s">
        <v>133</v>
      </c>
      <c r="L14" s="10" t="s">
        <v>133</v>
      </c>
      <c r="M14" s="10">
        <v>1595</v>
      </c>
      <c r="N14" s="10">
        <v>1885</v>
      </c>
      <c r="O14" s="10">
        <v>1740</v>
      </c>
      <c r="P14" s="10">
        <v>1740</v>
      </c>
      <c r="Q14" s="10">
        <v>1440</v>
      </c>
      <c r="R14" s="10">
        <v>1728</v>
      </c>
      <c r="S14" s="10">
        <v>1728</v>
      </c>
      <c r="T14" s="10">
        <v>2016</v>
      </c>
      <c r="U14" s="10">
        <v>1728</v>
      </c>
      <c r="V14">
        <f t="shared" si="13"/>
        <v>0</v>
      </c>
      <c r="W14">
        <f t="shared" si="14"/>
        <v>0</v>
      </c>
      <c r="X14">
        <f t="shared" si="15"/>
        <v>6960</v>
      </c>
      <c r="Y14">
        <f t="shared" si="16"/>
        <v>8640</v>
      </c>
      <c r="Z14">
        <f t="shared" si="17"/>
        <v>15600</v>
      </c>
      <c r="AA14" s="11">
        <f t="shared" si="18"/>
        <v>780</v>
      </c>
      <c r="AB14" s="12">
        <f t="shared" si="19"/>
        <v>0.27368421052631581</v>
      </c>
      <c r="AC14">
        <v>19</v>
      </c>
      <c r="AD14">
        <f t="shared" si="20"/>
        <v>57000</v>
      </c>
      <c r="AF14">
        <f t="shared" si="21"/>
        <v>0</v>
      </c>
      <c r="AG14">
        <f t="shared" si="22"/>
        <v>57000</v>
      </c>
      <c r="AH14">
        <f t="shared" si="23"/>
        <v>62700</v>
      </c>
      <c r="AK14" s="13">
        <v>0</v>
      </c>
      <c r="AL14" s="13">
        <f t="shared" si="24"/>
        <v>0</v>
      </c>
      <c r="AM14" s="13">
        <f t="shared" si="25"/>
        <v>0</v>
      </c>
      <c r="AN14" s="13">
        <v>0</v>
      </c>
      <c r="AO14" s="27">
        <f t="shared" si="26"/>
        <v>0</v>
      </c>
      <c r="AP14">
        <f t="shared" si="27"/>
        <v>-41400</v>
      </c>
    </row>
    <row r="15" spans="1:42" x14ac:dyDescent="0.3">
      <c r="A15" s="9" t="s">
        <v>138</v>
      </c>
      <c r="B15" s="10" t="s">
        <v>128</v>
      </c>
      <c r="C15" s="10" t="s">
        <v>133</v>
      </c>
      <c r="D15" s="10" t="s">
        <v>133</v>
      </c>
      <c r="E15" s="10" t="s">
        <v>133</v>
      </c>
      <c r="F15" s="10" t="s">
        <v>133</v>
      </c>
      <c r="G15" s="10" t="s">
        <v>133</v>
      </c>
      <c r="H15" s="10" t="s">
        <v>133</v>
      </c>
      <c r="I15" s="10" t="s">
        <v>133</v>
      </c>
      <c r="J15" s="10" t="s">
        <v>133</v>
      </c>
      <c r="K15" s="10" t="s">
        <v>133</v>
      </c>
      <c r="L15" s="10" t="s">
        <v>133</v>
      </c>
      <c r="M15" s="10">
        <v>1595</v>
      </c>
      <c r="N15" s="10">
        <v>1885</v>
      </c>
      <c r="O15" s="10">
        <v>2030</v>
      </c>
      <c r="P15" s="10">
        <v>2030</v>
      </c>
      <c r="Q15" s="10">
        <v>1728</v>
      </c>
      <c r="R15" s="10">
        <v>576</v>
      </c>
      <c r="S15" t="s">
        <v>151</v>
      </c>
      <c r="T15" t="s">
        <v>151</v>
      </c>
      <c r="U15" t="s">
        <v>151</v>
      </c>
      <c r="V15">
        <f t="shared" si="13"/>
        <v>0</v>
      </c>
      <c r="W15">
        <f t="shared" si="14"/>
        <v>0</v>
      </c>
      <c r="X15">
        <f t="shared" si="15"/>
        <v>7540</v>
      </c>
      <c r="Y15">
        <f t="shared" si="16"/>
        <v>2304</v>
      </c>
      <c r="Z15">
        <f t="shared" si="17"/>
        <v>9844</v>
      </c>
      <c r="AA15" s="11">
        <f t="shared" si="18"/>
        <v>492.2</v>
      </c>
      <c r="AB15" s="12">
        <f t="shared" si="19"/>
        <v>0.17270175438596491</v>
      </c>
      <c r="AC15">
        <v>19</v>
      </c>
      <c r="AD15">
        <f t="shared" si="20"/>
        <v>57000</v>
      </c>
      <c r="AF15">
        <f t="shared" si="21"/>
        <v>0</v>
      </c>
      <c r="AG15">
        <f t="shared" si="22"/>
        <v>57000</v>
      </c>
      <c r="AH15">
        <f t="shared" si="23"/>
        <v>62700</v>
      </c>
      <c r="AK15" s="13">
        <v>0</v>
      </c>
      <c r="AL15" s="13">
        <f t="shared" si="24"/>
        <v>0</v>
      </c>
      <c r="AM15" s="13">
        <f t="shared" si="25"/>
        <v>0</v>
      </c>
      <c r="AN15" s="13">
        <v>0</v>
      </c>
      <c r="AO15" s="27">
        <f t="shared" si="26"/>
        <v>0</v>
      </c>
      <c r="AP15">
        <f t="shared" si="27"/>
        <v>-47156</v>
      </c>
    </row>
    <row r="16" spans="1:42" x14ac:dyDescent="0.3">
      <c r="A16" s="9" t="s">
        <v>83</v>
      </c>
      <c r="B16" s="10" t="s">
        <v>128</v>
      </c>
      <c r="C16" s="10">
        <v>3300</v>
      </c>
      <c r="D16" s="10">
        <v>3420</v>
      </c>
      <c r="E16" s="41">
        <v>2700</v>
      </c>
      <c r="F16" s="41">
        <v>2700</v>
      </c>
      <c r="G16" s="10">
        <v>3120</v>
      </c>
      <c r="H16" s="10">
        <v>3510</v>
      </c>
      <c r="I16" s="10">
        <v>3510</v>
      </c>
      <c r="J16" s="10">
        <v>3510</v>
      </c>
      <c r="K16" s="10">
        <v>3315</v>
      </c>
      <c r="L16" s="10">
        <v>3315</v>
      </c>
      <c r="M16" s="10">
        <v>3410</v>
      </c>
      <c r="N16" s="10">
        <v>2754</v>
      </c>
      <c r="O16" s="10">
        <v>3402</v>
      </c>
      <c r="P16" s="10">
        <v>3335</v>
      </c>
      <c r="Q16" s="10">
        <f>3542-650</f>
        <v>2892</v>
      </c>
      <c r="R16" s="10">
        <v>3100</v>
      </c>
      <c r="S16" s="10">
        <v>3100</v>
      </c>
      <c r="T16" s="10">
        <v>3915</v>
      </c>
      <c r="U16" s="10">
        <v>3190</v>
      </c>
      <c r="V16">
        <f t="shared" si="13"/>
        <v>12120</v>
      </c>
      <c r="W16">
        <f t="shared" si="14"/>
        <v>16965</v>
      </c>
      <c r="X16">
        <f t="shared" si="15"/>
        <v>16216</v>
      </c>
      <c r="Y16">
        <f>SUM(Q16:U16)</f>
        <v>16197</v>
      </c>
      <c r="Z16">
        <f t="shared" si="17"/>
        <v>61498</v>
      </c>
      <c r="AA16" s="11">
        <f t="shared" si="18"/>
        <v>3074.9</v>
      </c>
      <c r="AB16" s="46">
        <f t="shared" si="19"/>
        <v>1.0999642276422763</v>
      </c>
      <c r="AC16">
        <v>17</v>
      </c>
      <c r="AD16">
        <f t="shared" si="20"/>
        <v>51000</v>
      </c>
      <c r="AE16">
        <v>2</v>
      </c>
      <c r="AF16">
        <f t="shared" si="21"/>
        <v>4800</v>
      </c>
      <c r="AG16">
        <f t="shared" si="22"/>
        <v>55800</v>
      </c>
      <c r="AH16">
        <f t="shared" si="23"/>
        <v>61500</v>
      </c>
      <c r="AI16">
        <f>Z16-AG16</f>
        <v>5698</v>
      </c>
      <c r="AK16" s="13">
        <v>1650</v>
      </c>
      <c r="AL16" s="13">
        <f t="shared" si="24"/>
        <v>569.80000000000007</v>
      </c>
      <c r="AM16" s="13">
        <f t="shared" si="25"/>
        <v>0</v>
      </c>
      <c r="AN16" s="13">
        <v>0</v>
      </c>
      <c r="AO16" s="27">
        <f t="shared" si="26"/>
        <v>2219.8000000000002</v>
      </c>
      <c r="AP16">
        <f t="shared" si="27"/>
        <v>5698</v>
      </c>
    </row>
    <row r="17" spans="1:42" x14ac:dyDescent="0.3">
      <c r="A17" s="9" t="s">
        <v>84</v>
      </c>
      <c r="B17" s="10" t="s">
        <v>128</v>
      </c>
      <c r="C17" s="10" t="s">
        <v>24</v>
      </c>
      <c r="D17" s="10" t="s">
        <v>24</v>
      </c>
      <c r="E17" s="41">
        <v>3000</v>
      </c>
      <c r="F17" s="41">
        <v>3000</v>
      </c>
      <c r="G17" s="10">
        <v>3120</v>
      </c>
      <c r="H17" s="10">
        <v>3120</v>
      </c>
      <c r="I17" s="10">
        <v>3510</v>
      </c>
      <c r="J17" s="10">
        <v>3510</v>
      </c>
      <c r="K17" s="10">
        <v>2925</v>
      </c>
      <c r="L17" s="10">
        <v>3510</v>
      </c>
      <c r="M17" s="10">
        <v>3100</v>
      </c>
      <c r="N17" s="10">
        <v>3078</v>
      </c>
      <c r="O17" s="10">
        <v>2966</v>
      </c>
      <c r="P17" s="10">
        <v>3100</v>
      </c>
      <c r="Q17" s="10">
        <v>3100</v>
      </c>
      <c r="R17" s="10">
        <v>3100</v>
      </c>
      <c r="S17" s="10">
        <v>3100</v>
      </c>
      <c r="T17" s="10">
        <v>3045</v>
      </c>
      <c r="U17" s="10" t="s">
        <v>31</v>
      </c>
      <c r="V17">
        <f t="shared" si="13"/>
        <v>6000</v>
      </c>
      <c r="W17">
        <f t="shared" si="14"/>
        <v>16185</v>
      </c>
      <c r="X17">
        <f t="shared" si="15"/>
        <v>15754</v>
      </c>
      <c r="Y17">
        <f t="shared" si="16"/>
        <v>12345</v>
      </c>
      <c r="Z17">
        <f t="shared" si="17"/>
        <v>50284</v>
      </c>
      <c r="AA17" s="11">
        <f t="shared" si="18"/>
        <v>2514.1999999999998</v>
      </c>
      <c r="AB17" s="12">
        <f t="shared" si="19"/>
        <v>1.007511839708561</v>
      </c>
      <c r="AC17">
        <v>15</v>
      </c>
      <c r="AD17">
        <f t="shared" si="20"/>
        <v>45000</v>
      </c>
      <c r="AE17">
        <v>2</v>
      </c>
      <c r="AF17">
        <f t="shared" si="21"/>
        <v>4800</v>
      </c>
      <c r="AG17">
        <f t="shared" si="22"/>
        <v>49800</v>
      </c>
      <c r="AH17">
        <f t="shared" si="23"/>
        <v>54900</v>
      </c>
      <c r="AI17">
        <f>Z17-AG17</f>
        <v>484</v>
      </c>
      <c r="AK17" s="13">
        <v>1650</v>
      </c>
      <c r="AL17" s="13">
        <f t="shared" si="24"/>
        <v>48.400000000000006</v>
      </c>
      <c r="AM17" s="13">
        <f t="shared" si="25"/>
        <v>0</v>
      </c>
      <c r="AN17" s="13">
        <v>0</v>
      </c>
      <c r="AO17" s="27">
        <f t="shared" si="26"/>
        <v>1698.4</v>
      </c>
      <c r="AP17">
        <f t="shared" si="27"/>
        <v>484</v>
      </c>
    </row>
    <row r="18" spans="1:42" x14ac:dyDescent="0.3">
      <c r="A18" s="9" t="s">
        <v>85</v>
      </c>
      <c r="B18" s="10" t="s">
        <v>128</v>
      </c>
      <c r="C18" s="10">
        <v>6000</v>
      </c>
      <c r="D18" s="10">
        <v>5400</v>
      </c>
      <c r="E18" s="10">
        <v>5700</v>
      </c>
      <c r="F18" s="10">
        <v>5700</v>
      </c>
      <c r="G18" s="10">
        <v>4500</v>
      </c>
      <c r="H18" t="s">
        <v>23</v>
      </c>
      <c r="I18" s="10" t="s">
        <v>129</v>
      </c>
      <c r="J18" s="10">
        <v>5400</v>
      </c>
      <c r="K18" s="10">
        <v>5040</v>
      </c>
      <c r="L18" s="10">
        <v>4320</v>
      </c>
      <c r="M18" s="10">
        <v>5400</v>
      </c>
      <c r="N18" s="10">
        <v>5040</v>
      </c>
      <c r="O18" s="10">
        <v>5040</v>
      </c>
      <c r="P18" s="10">
        <v>4680</v>
      </c>
      <c r="Q18" s="10">
        <v>5400</v>
      </c>
      <c r="R18" t="s">
        <v>129</v>
      </c>
      <c r="S18" s="10">
        <v>4320</v>
      </c>
      <c r="T18" s="10">
        <v>3600</v>
      </c>
      <c r="U18" s="10">
        <v>3960</v>
      </c>
      <c r="V18">
        <f t="shared" si="0"/>
        <v>22800</v>
      </c>
      <c r="W18">
        <f t="shared" si="1"/>
        <v>14940</v>
      </c>
      <c r="X18">
        <f t="shared" si="2"/>
        <v>24480</v>
      </c>
      <c r="Y18">
        <f t="shared" si="3"/>
        <v>17280</v>
      </c>
      <c r="Z18">
        <f t="shared" si="4"/>
        <v>79500</v>
      </c>
      <c r="AA18" s="11">
        <f t="shared" ref="AA18:AA19" si="28">Z18/20</f>
        <v>3975</v>
      </c>
      <c r="AB18" s="46">
        <f t="shared" ref="AB18:AB19" si="29">Z18/(AH18/110)/100</f>
        <v>0.99375000000000002</v>
      </c>
      <c r="AC18">
        <v>16</v>
      </c>
      <c r="AD18">
        <f>5200*AC18</f>
        <v>83200</v>
      </c>
      <c r="AF18">
        <f t="shared" si="6"/>
        <v>0</v>
      </c>
      <c r="AG18">
        <f t="shared" si="7"/>
        <v>83200</v>
      </c>
      <c r="AH18">
        <f t="shared" si="8"/>
        <v>88000</v>
      </c>
      <c r="AK18" s="13">
        <v>1650</v>
      </c>
      <c r="AL18" s="13">
        <f t="shared" si="9"/>
        <v>0</v>
      </c>
      <c r="AM18" s="13">
        <f t="shared" si="10"/>
        <v>0</v>
      </c>
      <c r="AN18" s="13">
        <v>0</v>
      </c>
      <c r="AO18" s="27">
        <f t="shared" si="11"/>
        <v>1650</v>
      </c>
      <c r="AP18">
        <f t="shared" si="12"/>
        <v>-3700</v>
      </c>
    </row>
    <row r="19" spans="1:42" x14ac:dyDescent="0.3">
      <c r="A19" s="9" t="s">
        <v>86</v>
      </c>
      <c r="B19" s="10" t="s">
        <v>128</v>
      </c>
      <c r="C19" s="10">
        <v>3060</v>
      </c>
      <c r="D19" s="10">
        <v>3060</v>
      </c>
      <c r="E19" s="41">
        <v>2400</v>
      </c>
      <c r="F19" s="41">
        <v>2400</v>
      </c>
      <c r="G19" s="10">
        <v>3120</v>
      </c>
      <c r="H19" s="10">
        <v>3120</v>
      </c>
      <c r="I19" s="10">
        <v>3120</v>
      </c>
      <c r="J19" s="10">
        <v>3120</v>
      </c>
      <c r="K19" s="10">
        <v>3120</v>
      </c>
      <c r="L19" s="10">
        <v>3120</v>
      </c>
      <c r="M19" s="10">
        <v>3100</v>
      </c>
      <c r="N19" s="10">
        <v>3078</v>
      </c>
      <c r="O19" s="10">
        <v>3078</v>
      </c>
      <c r="P19" s="10">
        <v>3355</v>
      </c>
      <c r="Q19" s="10">
        <v>3100</v>
      </c>
      <c r="R19" s="10">
        <v>3100</v>
      </c>
      <c r="S19" s="10">
        <v>3100</v>
      </c>
      <c r="T19" s="10">
        <v>3045</v>
      </c>
      <c r="U19" s="10" t="s">
        <v>24</v>
      </c>
      <c r="V19">
        <f t="shared" si="0"/>
        <v>10920</v>
      </c>
      <c r="W19">
        <f>SUM(G19:K19)</f>
        <v>15600</v>
      </c>
      <c r="X19">
        <f t="shared" si="2"/>
        <v>15731</v>
      </c>
      <c r="Y19">
        <f t="shared" si="3"/>
        <v>12345</v>
      </c>
      <c r="Z19">
        <f t="shared" si="4"/>
        <v>54596</v>
      </c>
      <c r="AA19" s="11">
        <f t="shared" si="28"/>
        <v>2729.8</v>
      </c>
      <c r="AB19" s="12">
        <f t="shared" si="29"/>
        <v>1.0318831615120274</v>
      </c>
      <c r="AC19">
        <v>16</v>
      </c>
      <c r="AD19">
        <f t="shared" si="5"/>
        <v>48000</v>
      </c>
      <c r="AE19">
        <v>2</v>
      </c>
      <c r="AF19">
        <f t="shared" si="6"/>
        <v>4800</v>
      </c>
      <c r="AG19">
        <f t="shared" si="7"/>
        <v>52800</v>
      </c>
      <c r="AH19">
        <f t="shared" si="8"/>
        <v>58200</v>
      </c>
      <c r="AI19">
        <f>Z19-AG19</f>
        <v>1796</v>
      </c>
      <c r="AK19" s="13">
        <v>1650</v>
      </c>
      <c r="AL19" s="13">
        <f t="shared" si="9"/>
        <v>179.60000000000002</v>
      </c>
      <c r="AM19" s="13">
        <f t="shared" si="10"/>
        <v>0</v>
      </c>
      <c r="AN19" s="13">
        <v>0</v>
      </c>
      <c r="AO19" s="27">
        <f t="shared" si="11"/>
        <v>1829.6</v>
      </c>
      <c r="AP19">
        <f t="shared" si="12"/>
        <v>1796</v>
      </c>
    </row>
    <row r="20" spans="1:42" x14ac:dyDescent="0.3">
      <c r="A20" s="9" t="s">
        <v>135</v>
      </c>
      <c r="B20" s="10" t="s">
        <v>128</v>
      </c>
      <c r="C20" s="10" t="s">
        <v>39</v>
      </c>
      <c r="D20" s="10" t="s">
        <v>39</v>
      </c>
      <c r="E20" s="10" t="s">
        <v>39</v>
      </c>
      <c r="F20" s="10" t="s">
        <v>39</v>
      </c>
      <c r="G20" s="10" t="s">
        <v>39</v>
      </c>
      <c r="H20" s="10" t="s">
        <v>39</v>
      </c>
      <c r="I20" s="10">
        <v>930</v>
      </c>
      <c r="J20" s="10" t="s">
        <v>39</v>
      </c>
      <c r="K20" s="10" t="s">
        <v>39</v>
      </c>
      <c r="L20" s="10" t="s">
        <v>39</v>
      </c>
      <c r="M20" s="10" t="s">
        <v>39</v>
      </c>
      <c r="N20" s="10" t="s">
        <v>39</v>
      </c>
      <c r="O20" s="10" t="s">
        <v>39</v>
      </c>
      <c r="P20" s="10" t="s">
        <v>39</v>
      </c>
      <c r="Q20" s="10" t="s">
        <v>39</v>
      </c>
      <c r="R20" s="10" t="s">
        <v>39</v>
      </c>
      <c r="S20" s="10" t="s">
        <v>39</v>
      </c>
      <c r="T20" s="10" t="s">
        <v>39</v>
      </c>
      <c r="U20" s="10">
        <v>864</v>
      </c>
      <c r="V20">
        <f t="shared" ref="V20" si="30">SUM(B20:F20)</f>
        <v>0</v>
      </c>
      <c r="W20">
        <f>SUM(G20:K20)</f>
        <v>930</v>
      </c>
      <c r="X20">
        <f t="shared" ref="X20" si="31">SUM(L20:P20)</f>
        <v>0</v>
      </c>
      <c r="Y20">
        <f t="shared" ref="Y20" si="32">SUM(Q20:U20)</f>
        <v>864</v>
      </c>
      <c r="Z20">
        <f t="shared" ref="Z20" si="33">SUM(V20:Y20)</f>
        <v>1794</v>
      </c>
      <c r="AA20" s="11">
        <f t="shared" ref="AA20" si="34">Z20/20</f>
        <v>89.7</v>
      </c>
      <c r="AB20" s="12">
        <f t="shared" ref="AB20" si="35">Z20/(AH20/110)/100</f>
        <v>3.1473684210526313E-2</v>
      </c>
      <c r="AC20">
        <v>19</v>
      </c>
      <c r="AD20">
        <f t="shared" ref="AD20" si="36">3000*AC20</f>
        <v>57000</v>
      </c>
      <c r="AF20">
        <f t="shared" ref="AF20" si="37">2400*AE20</f>
        <v>0</v>
      </c>
      <c r="AG20">
        <f t="shared" ref="AG20" si="38">AD20+AF20</f>
        <v>57000</v>
      </c>
      <c r="AH20">
        <f t="shared" ref="AH20" si="39">(AC20+AE20)*300+AG20</f>
        <v>62700</v>
      </c>
      <c r="AK20" s="13">
        <v>0</v>
      </c>
      <c r="AL20" s="13">
        <f t="shared" ref="AL20" si="40">AI20*0.1</f>
        <v>0</v>
      </c>
      <c r="AM20" s="13">
        <f t="shared" ref="AM20" si="41">AJ20*0.12</f>
        <v>0</v>
      </c>
      <c r="AN20" s="13">
        <v>0</v>
      </c>
      <c r="AO20" s="27">
        <f t="shared" ref="AO20" si="42">AK20+AL20+AM20-AN20</f>
        <v>0</v>
      </c>
      <c r="AP20">
        <f t="shared" ref="AP20" si="43">Z20-AG20</f>
        <v>-55206</v>
      </c>
    </row>
    <row r="21" spans="1:42" x14ac:dyDescent="0.3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AA21" s="11"/>
      <c r="AB21" s="12"/>
      <c r="AK21" s="13"/>
      <c r="AL21" s="13"/>
      <c r="AM21" s="13"/>
      <c r="AN21" s="13"/>
      <c r="AO21" s="27"/>
    </row>
    <row r="22" spans="1:42" ht="45" customHeight="1" x14ac:dyDescent="0.3">
      <c r="B22" s="48" t="s">
        <v>68</v>
      </c>
      <c r="C22" s="48"/>
      <c r="D22" s="48"/>
      <c r="E22" s="48"/>
      <c r="F22" s="48"/>
      <c r="G22" s="49" t="s">
        <v>69</v>
      </c>
      <c r="H22" s="49"/>
      <c r="I22" s="49"/>
      <c r="J22" s="49"/>
      <c r="K22" s="49"/>
      <c r="L22" s="48" t="s">
        <v>70</v>
      </c>
      <c r="M22" s="48"/>
      <c r="N22" s="48"/>
      <c r="O22" s="48"/>
      <c r="P22" s="48"/>
      <c r="Q22" s="49" t="s">
        <v>144</v>
      </c>
      <c r="R22" s="49"/>
      <c r="S22" s="49"/>
      <c r="T22" s="49"/>
      <c r="U22" s="49"/>
      <c r="V22" s="50" t="s">
        <v>0</v>
      </c>
      <c r="W22" s="50"/>
      <c r="X22" s="50"/>
      <c r="Y22" s="50"/>
      <c r="Z22" s="51" t="s">
        <v>1</v>
      </c>
      <c r="AA22" s="52" t="s">
        <v>2</v>
      </c>
      <c r="AB22" s="52"/>
      <c r="AC22" s="53" t="s">
        <v>3</v>
      </c>
      <c r="AD22" s="53"/>
      <c r="AE22" s="53"/>
      <c r="AF22" s="53"/>
      <c r="AG22" s="52" t="s">
        <v>4</v>
      </c>
      <c r="AH22" s="52"/>
      <c r="AI22" s="54" t="s">
        <v>5</v>
      </c>
      <c r="AJ22" s="54"/>
      <c r="AK22" s="55" t="s">
        <v>6</v>
      </c>
      <c r="AL22" s="55"/>
      <c r="AM22" s="55"/>
      <c r="AN22" s="55"/>
      <c r="AO22" s="55"/>
      <c r="AP22" s="47" t="s">
        <v>7</v>
      </c>
    </row>
    <row r="23" spans="1:42" ht="15.6" x14ac:dyDescent="0.3">
      <c r="A23" s="2" t="s">
        <v>46</v>
      </c>
      <c r="B23" s="3">
        <v>46115</v>
      </c>
      <c r="C23" s="3">
        <v>46118</v>
      </c>
      <c r="D23" s="3">
        <v>46119</v>
      </c>
      <c r="E23" s="3">
        <v>46120</v>
      </c>
      <c r="F23" s="3">
        <v>46121</v>
      </c>
      <c r="G23" s="25">
        <v>46122</v>
      </c>
      <c r="H23" s="25">
        <v>46125</v>
      </c>
      <c r="I23" s="25">
        <v>46126</v>
      </c>
      <c r="J23" s="25">
        <v>46127</v>
      </c>
      <c r="K23" s="25">
        <v>46128</v>
      </c>
      <c r="L23" s="3">
        <v>46129</v>
      </c>
      <c r="M23" s="3">
        <v>46132</v>
      </c>
      <c r="N23" s="3">
        <v>46133</v>
      </c>
      <c r="O23" s="3">
        <v>46134</v>
      </c>
      <c r="P23" s="3">
        <v>46135</v>
      </c>
      <c r="Q23" s="25">
        <v>46136</v>
      </c>
      <c r="R23" s="25">
        <v>46139</v>
      </c>
      <c r="S23" s="25">
        <v>46140</v>
      </c>
      <c r="T23" s="25">
        <v>46141</v>
      </c>
      <c r="U23" s="25">
        <v>46142</v>
      </c>
      <c r="V23" s="24" t="s">
        <v>68</v>
      </c>
      <c r="W23" s="24" t="s">
        <v>69</v>
      </c>
      <c r="X23" s="24" t="s">
        <v>70</v>
      </c>
      <c r="Y23" s="24" t="s">
        <v>144</v>
      </c>
      <c r="Z23" s="51"/>
      <c r="AA23" t="s">
        <v>9</v>
      </c>
      <c r="AB23" t="s">
        <v>10</v>
      </c>
      <c r="AC23" t="s">
        <v>11</v>
      </c>
      <c r="AD23" t="s">
        <v>12</v>
      </c>
      <c r="AE23" t="s">
        <v>13</v>
      </c>
      <c r="AF23" t="s">
        <v>12</v>
      </c>
      <c r="AG23" s="12">
        <v>1</v>
      </c>
      <c r="AH23" s="12">
        <v>1.1000000000000001</v>
      </c>
      <c r="AI23" s="12">
        <v>1</v>
      </c>
      <c r="AJ23" s="12">
        <v>1.1000000000000001</v>
      </c>
      <c r="AK23" t="s">
        <v>14</v>
      </c>
      <c r="AL23" t="s">
        <v>15</v>
      </c>
      <c r="AM23" t="s">
        <v>16</v>
      </c>
      <c r="AN23" t="s">
        <v>17</v>
      </c>
      <c r="AO23" t="s">
        <v>18</v>
      </c>
      <c r="AP23" s="47"/>
    </row>
    <row r="24" spans="1:42" s="42" customFormat="1" x14ac:dyDescent="0.3">
      <c r="A24" s="9" t="s">
        <v>97</v>
      </c>
      <c r="B24" s="10" t="s">
        <v>128</v>
      </c>
      <c r="C24" s="44" t="s">
        <v>23</v>
      </c>
      <c r="D24" s="44" t="s">
        <v>23</v>
      </c>
      <c r="E24" s="41">
        <v>5100</v>
      </c>
      <c r="F24" s="44" t="s">
        <v>23</v>
      </c>
      <c r="G24" s="44" t="s">
        <v>23</v>
      </c>
      <c r="H24" s="44" t="s">
        <v>23</v>
      </c>
      <c r="I24" s="44" t="s">
        <v>23</v>
      </c>
      <c r="J24" s="44" t="s">
        <v>23</v>
      </c>
      <c r="K24" s="44" t="s">
        <v>23</v>
      </c>
      <c r="L24" s="44" t="s">
        <v>23</v>
      </c>
      <c r="M24" s="44" t="s">
        <v>23</v>
      </c>
      <c r="N24" s="44" t="s">
        <v>23</v>
      </c>
      <c r="O24" s="10">
        <v>620</v>
      </c>
      <c r="P24" s="44" t="s">
        <v>23</v>
      </c>
      <c r="Q24" s="44" t="s">
        <v>23</v>
      </c>
      <c r="R24" s="44" t="s">
        <v>23</v>
      </c>
      <c r="S24" s="44" t="s">
        <v>23</v>
      </c>
      <c r="T24" s="44" t="s">
        <v>23</v>
      </c>
      <c r="U24" s="44" t="s">
        <v>23</v>
      </c>
      <c r="V24">
        <f t="shared" ref="V24" si="44">SUM(B24:F24)</f>
        <v>5100</v>
      </c>
      <c r="W24">
        <f t="shared" ref="W24" si="45">SUM(G24:K24)</f>
        <v>0</v>
      </c>
      <c r="X24">
        <f t="shared" ref="X24" si="46">SUM(L24:P24)</f>
        <v>620</v>
      </c>
      <c r="Y24">
        <f t="shared" ref="Y24" si="47">SUM(Q24:U24)</f>
        <v>0</v>
      </c>
      <c r="Z24">
        <f t="shared" ref="Z24" si="48">SUM(V24:Y24)</f>
        <v>5720</v>
      </c>
      <c r="AA24" s="11">
        <f>Z24/20</f>
        <v>286</v>
      </c>
      <c r="AB24" s="12">
        <f>Z24/(AH24/110)/100</f>
        <v>5.0175438596491227E-2</v>
      </c>
      <c r="AC24">
        <v>19</v>
      </c>
      <c r="AD24">
        <f t="shared" ref="AD24" si="49">6000*AC24</f>
        <v>114000</v>
      </c>
      <c r="AE24"/>
      <c r="AF24">
        <f t="shared" ref="AF24" si="50">4800*AE24</f>
        <v>0</v>
      </c>
      <c r="AG24">
        <f t="shared" ref="AG24" si="51">AD24+AF24</f>
        <v>114000</v>
      </c>
      <c r="AH24">
        <f t="shared" ref="AH24" si="52">(AG24*0.1)+AG24</f>
        <v>125400</v>
      </c>
      <c r="AI24" s="28"/>
      <c r="AJ24" s="28"/>
      <c r="AK24" s="13">
        <v>0</v>
      </c>
      <c r="AL24" s="13">
        <f>AI24*0.05</f>
        <v>0</v>
      </c>
      <c r="AM24" s="13">
        <f t="shared" ref="AM24" si="53">AJ24*0.06</f>
        <v>0</v>
      </c>
      <c r="AN24" s="13">
        <v>0</v>
      </c>
      <c r="AO24" s="13">
        <f t="shared" ref="AO24" si="54">AK24+AL24+AM24-AN24</f>
        <v>0</v>
      </c>
      <c r="AP24">
        <f t="shared" ref="AP24" si="55">Z24-AG24</f>
        <v>-108280</v>
      </c>
    </row>
    <row r="25" spans="1:42" x14ac:dyDescent="0.3">
      <c r="A25" s="9" t="s">
        <v>87</v>
      </c>
      <c r="B25" s="10" t="s">
        <v>128</v>
      </c>
      <c r="C25" s="41">
        <v>6720</v>
      </c>
      <c r="D25" s="10">
        <v>7200</v>
      </c>
      <c r="E25" s="41">
        <v>5100</v>
      </c>
      <c r="F25" s="41">
        <v>5100</v>
      </c>
      <c r="G25" s="10">
        <v>6820</v>
      </c>
      <c r="H25" s="10">
        <v>8570</v>
      </c>
      <c r="I25" s="10">
        <v>8520</v>
      </c>
      <c r="J25" s="10">
        <v>7540</v>
      </c>
      <c r="K25" s="10">
        <v>7350</v>
      </c>
      <c r="L25" s="10">
        <v>7160</v>
      </c>
      <c r="M25" s="10">
        <v>7130</v>
      </c>
      <c r="N25" s="10">
        <v>7270</v>
      </c>
      <c r="O25" s="10">
        <v>7800</v>
      </c>
      <c r="P25" s="10">
        <v>8890</v>
      </c>
      <c r="Q25" s="10">
        <v>8680</v>
      </c>
      <c r="R25" s="10">
        <v>7130</v>
      </c>
      <c r="S25" s="10">
        <v>7130</v>
      </c>
      <c r="T25" s="10">
        <v>6380</v>
      </c>
      <c r="U25" s="10">
        <v>6404</v>
      </c>
      <c r="V25">
        <f t="shared" ref="V25:V34" si="56">SUM(B25:F25)</f>
        <v>24120</v>
      </c>
      <c r="W25">
        <f t="shared" ref="W25:W34" si="57">SUM(G25:K25)</f>
        <v>38800</v>
      </c>
      <c r="X25">
        <f t="shared" ref="X25:X34" si="58">SUM(L25:P25)</f>
        <v>38250</v>
      </c>
      <c r="Y25">
        <f t="shared" ref="Y25:Y34" si="59">SUM(Q25:U25)</f>
        <v>35724</v>
      </c>
      <c r="Z25">
        <f t="shared" ref="Z25:Z34" si="60">SUM(V25:Y25)</f>
        <v>136894</v>
      </c>
      <c r="AA25" s="11">
        <f t="shared" ref="AA25:AA34" si="61">Z25/20</f>
        <v>6844.7</v>
      </c>
      <c r="AB25" s="12">
        <f t="shared" ref="AB25:AB34" si="62">Z25/(AH25/110)/100</f>
        <v>1.2399818840579711</v>
      </c>
      <c r="AC25">
        <v>16</v>
      </c>
      <c r="AD25">
        <f t="shared" ref="AD25:AD34" si="63">6000*AC25</f>
        <v>96000</v>
      </c>
      <c r="AE25">
        <v>3</v>
      </c>
      <c r="AF25">
        <f t="shared" ref="AF25:AF34" si="64">4800*AE25</f>
        <v>14400</v>
      </c>
      <c r="AG25">
        <f t="shared" ref="AG25:AG34" si="65">AD25+AF25</f>
        <v>110400</v>
      </c>
      <c r="AH25">
        <f t="shared" ref="AH25:AH34" si="66">(AG25*0.1)+AG25</f>
        <v>121440</v>
      </c>
      <c r="AI25" s="28">
        <f>AH25-AG25</f>
        <v>11040</v>
      </c>
      <c r="AJ25" s="28">
        <f>Z25-AH25</f>
        <v>15454</v>
      </c>
      <c r="AK25" s="13">
        <v>1650</v>
      </c>
      <c r="AL25" s="13">
        <f t="shared" ref="AL25:AL34" si="67">AI25*0.05</f>
        <v>552</v>
      </c>
      <c r="AM25" s="13">
        <f t="shared" ref="AM25:AM34" si="68">AJ25*0.06</f>
        <v>927.24</v>
      </c>
      <c r="AN25" s="13">
        <v>0</v>
      </c>
      <c r="AO25" s="13">
        <f t="shared" ref="AO25:AO34" si="69">AK25+AL25+AM25-AN25</f>
        <v>3129.24</v>
      </c>
      <c r="AP25">
        <f t="shared" ref="AP25:AP34" si="70">Z25-AG25</f>
        <v>26494</v>
      </c>
    </row>
    <row r="26" spans="1:42" x14ac:dyDescent="0.3">
      <c r="A26" s="9" t="s">
        <v>88</v>
      </c>
      <c r="B26" s="10" t="s">
        <v>128</v>
      </c>
      <c r="C26" s="41">
        <f>6660+300</f>
        <v>6960</v>
      </c>
      <c r="D26" s="10">
        <f>6480+750</f>
        <v>7230</v>
      </c>
      <c r="E26" s="41">
        <v>5700</v>
      </c>
      <c r="F26" s="41">
        <v>6300</v>
      </c>
      <c r="G26" s="10">
        <f>6160+360</f>
        <v>6520</v>
      </c>
      <c r="H26" s="10">
        <v>9165</v>
      </c>
      <c r="I26" s="10">
        <v>8890</v>
      </c>
      <c r="J26" s="10">
        <v>6240</v>
      </c>
      <c r="K26" s="10">
        <v>6630</v>
      </c>
      <c r="L26" s="10">
        <v>7020</v>
      </c>
      <c r="M26" s="10">
        <v>6480</v>
      </c>
      <c r="N26" s="10">
        <v>7110</v>
      </c>
      <c r="O26" s="10">
        <v>6240</v>
      </c>
      <c r="P26" s="10">
        <v>8650</v>
      </c>
      <c r="Q26" s="10" t="s">
        <v>24</v>
      </c>
      <c r="R26" s="10">
        <v>6310</v>
      </c>
      <c r="S26" s="10">
        <v>5760</v>
      </c>
      <c r="T26" s="10">
        <f>8410+580</f>
        <v>8990</v>
      </c>
      <c r="U26" s="10">
        <v>6090</v>
      </c>
      <c r="V26">
        <f t="shared" si="56"/>
        <v>26190</v>
      </c>
      <c r="W26">
        <f t="shared" si="57"/>
        <v>37445</v>
      </c>
      <c r="X26">
        <f t="shared" si="58"/>
        <v>35500</v>
      </c>
      <c r="Y26">
        <f t="shared" si="59"/>
        <v>27150</v>
      </c>
      <c r="Z26">
        <f t="shared" si="60"/>
        <v>126285</v>
      </c>
      <c r="AA26" s="11">
        <f t="shared" si="61"/>
        <v>6314.25</v>
      </c>
      <c r="AB26" s="12">
        <f t="shared" si="62"/>
        <v>1.2096264367816092</v>
      </c>
      <c r="AC26">
        <v>15</v>
      </c>
      <c r="AD26">
        <f t="shared" si="63"/>
        <v>90000</v>
      </c>
      <c r="AE26">
        <v>3</v>
      </c>
      <c r="AF26">
        <f t="shared" si="64"/>
        <v>14400</v>
      </c>
      <c r="AG26">
        <f t="shared" si="65"/>
        <v>104400</v>
      </c>
      <c r="AH26">
        <f t="shared" si="66"/>
        <v>114840</v>
      </c>
      <c r="AI26" s="28">
        <f>AH26-AG26</f>
        <v>10440</v>
      </c>
      <c r="AJ26" s="28">
        <f>Z26-AH26</f>
        <v>11445</v>
      </c>
      <c r="AK26" s="13">
        <v>1650</v>
      </c>
      <c r="AL26" s="13">
        <f t="shared" si="67"/>
        <v>522</v>
      </c>
      <c r="AM26" s="13">
        <f t="shared" si="68"/>
        <v>686.69999999999993</v>
      </c>
      <c r="AN26" s="13">
        <v>0</v>
      </c>
      <c r="AO26" s="13">
        <f t="shared" si="69"/>
        <v>2858.7</v>
      </c>
      <c r="AP26">
        <f t="shared" si="70"/>
        <v>21885</v>
      </c>
    </row>
    <row r="27" spans="1:42" x14ac:dyDescent="0.3">
      <c r="A27" s="9" t="s">
        <v>149</v>
      </c>
      <c r="B27" s="10" t="s">
        <v>128</v>
      </c>
      <c r="C27" s="10" t="s">
        <v>133</v>
      </c>
      <c r="D27" s="10" t="s">
        <v>133</v>
      </c>
      <c r="E27" s="10" t="s">
        <v>133</v>
      </c>
      <c r="F27" s="10" t="s">
        <v>133</v>
      </c>
      <c r="G27" s="10" t="s">
        <v>133</v>
      </c>
      <c r="H27" s="10" t="s">
        <v>133</v>
      </c>
      <c r="I27" s="10" t="s">
        <v>133</v>
      </c>
      <c r="J27" s="10" t="s">
        <v>133</v>
      </c>
      <c r="K27" s="10" t="s">
        <v>133</v>
      </c>
      <c r="L27" s="10" t="s">
        <v>133</v>
      </c>
      <c r="M27" s="10" t="s">
        <v>150</v>
      </c>
      <c r="N27" s="10" t="s">
        <v>150</v>
      </c>
      <c r="O27" s="10" t="s">
        <v>150</v>
      </c>
      <c r="P27" s="10" t="s">
        <v>150</v>
      </c>
      <c r="Q27" s="10" t="s">
        <v>150</v>
      </c>
      <c r="R27" s="10">
        <v>2304</v>
      </c>
      <c r="S27" s="10">
        <v>6048</v>
      </c>
      <c r="T27" s="10">
        <v>5184</v>
      </c>
      <c r="U27" s="10">
        <v>2592</v>
      </c>
      <c r="V27">
        <f t="shared" si="56"/>
        <v>0</v>
      </c>
      <c r="W27">
        <f t="shared" si="57"/>
        <v>0</v>
      </c>
      <c r="X27">
        <f t="shared" si="58"/>
        <v>0</v>
      </c>
      <c r="Y27">
        <f t="shared" si="59"/>
        <v>16128</v>
      </c>
      <c r="Z27">
        <f t="shared" si="60"/>
        <v>16128</v>
      </c>
      <c r="AA27" s="11">
        <f t="shared" si="61"/>
        <v>806.4</v>
      </c>
      <c r="AB27" s="12">
        <f t="shared" si="62"/>
        <v>0.14147368421052631</v>
      </c>
      <c r="AC27">
        <v>19</v>
      </c>
      <c r="AD27">
        <f t="shared" si="63"/>
        <v>114000</v>
      </c>
      <c r="AF27">
        <f t="shared" si="64"/>
        <v>0</v>
      </c>
      <c r="AG27">
        <f t="shared" si="65"/>
        <v>114000</v>
      </c>
      <c r="AH27">
        <f t="shared" si="66"/>
        <v>125400</v>
      </c>
      <c r="AI27" s="28"/>
      <c r="AJ27" s="28"/>
      <c r="AK27" s="13">
        <v>0</v>
      </c>
      <c r="AL27" s="13">
        <f t="shared" si="67"/>
        <v>0</v>
      </c>
      <c r="AM27" s="13">
        <f t="shared" si="68"/>
        <v>0</v>
      </c>
      <c r="AN27" s="13">
        <v>0</v>
      </c>
      <c r="AO27" s="13">
        <f t="shared" si="69"/>
        <v>0</v>
      </c>
      <c r="AP27">
        <f t="shared" si="70"/>
        <v>-97872</v>
      </c>
    </row>
    <row r="28" spans="1:42" x14ac:dyDescent="0.3">
      <c r="A28" s="9" t="s">
        <v>90</v>
      </c>
      <c r="B28" s="10" t="s">
        <v>128</v>
      </c>
      <c r="C28" t="s">
        <v>130</v>
      </c>
      <c r="D28" t="s">
        <v>130</v>
      </c>
      <c r="E28" t="s">
        <v>130</v>
      </c>
      <c r="F28" t="s">
        <v>130</v>
      </c>
      <c r="G28" t="s">
        <v>130</v>
      </c>
      <c r="H28" t="s">
        <v>130</v>
      </c>
      <c r="I28" t="s">
        <v>130</v>
      </c>
      <c r="J28" t="s">
        <v>130</v>
      </c>
      <c r="K28" t="s">
        <v>130</v>
      </c>
      <c r="L28" t="s">
        <v>130</v>
      </c>
      <c r="M28" t="s">
        <v>130</v>
      </c>
      <c r="N28" t="s">
        <v>130</v>
      </c>
      <c r="O28" t="s">
        <v>130</v>
      </c>
      <c r="P28" t="s">
        <v>130</v>
      </c>
      <c r="Q28" t="s">
        <v>130</v>
      </c>
      <c r="R28" t="s">
        <v>130</v>
      </c>
      <c r="S28" t="s">
        <v>130</v>
      </c>
      <c r="T28" t="s">
        <v>130</v>
      </c>
      <c r="U28" t="s">
        <v>130</v>
      </c>
      <c r="V28">
        <f t="shared" si="56"/>
        <v>0</v>
      </c>
      <c r="W28">
        <f t="shared" si="57"/>
        <v>0</v>
      </c>
      <c r="X28">
        <f t="shared" si="58"/>
        <v>0</v>
      </c>
      <c r="Y28">
        <f t="shared" si="59"/>
        <v>0</v>
      </c>
      <c r="Z28">
        <f t="shared" si="60"/>
        <v>0</v>
      </c>
      <c r="AA28" s="11">
        <f t="shared" si="61"/>
        <v>0</v>
      </c>
      <c r="AB28" s="12">
        <f t="shared" si="62"/>
        <v>0</v>
      </c>
      <c r="AC28">
        <v>19</v>
      </c>
      <c r="AD28">
        <f t="shared" si="63"/>
        <v>114000</v>
      </c>
      <c r="AF28">
        <f t="shared" si="64"/>
        <v>0</v>
      </c>
      <c r="AG28">
        <f t="shared" si="65"/>
        <v>114000</v>
      </c>
      <c r="AH28">
        <f t="shared" si="66"/>
        <v>125400</v>
      </c>
      <c r="AI28" s="28"/>
      <c r="AJ28" s="28"/>
      <c r="AK28" s="13">
        <v>0</v>
      </c>
      <c r="AL28" s="13">
        <f t="shared" si="67"/>
        <v>0</v>
      </c>
      <c r="AM28" s="13">
        <f t="shared" si="68"/>
        <v>0</v>
      </c>
      <c r="AN28" s="13">
        <v>0</v>
      </c>
      <c r="AO28" s="13">
        <f t="shared" si="69"/>
        <v>0</v>
      </c>
      <c r="AP28">
        <f t="shared" si="70"/>
        <v>-114000</v>
      </c>
    </row>
    <row r="29" spans="1:42" x14ac:dyDescent="0.3">
      <c r="A29" s="9" t="s">
        <v>85</v>
      </c>
      <c r="B29" s="10" t="s">
        <v>128</v>
      </c>
      <c r="C29" s="10" t="s">
        <v>48</v>
      </c>
      <c r="D29" s="10" t="s">
        <v>48</v>
      </c>
      <c r="E29" s="10" t="s">
        <v>48</v>
      </c>
      <c r="F29" s="10" t="s">
        <v>48</v>
      </c>
      <c r="G29" s="10" t="s">
        <v>48</v>
      </c>
      <c r="H29" s="10" t="s">
        <v>48</v>
      </c>
      <c r="I29" s="10">
        <v>7020</v>
      </c>
      <c r="J29" s="10" t="s">
        <v>48</v>
      </c>
      <c r="K29" s="10" t="s">
        <v>48</v>
      </c>
      <c r="L29" s="10" t="s">
        <v>48</v>
      </c>
      <c r="M29" s="10" t="s">
        <v>48</v>
      </c>
      <c r="N29" s="10" t="s">
        <v>48</v>
      </c>
      <c r="O29" s="10" t="s">
        <v>48</v>
      </c>
      <c r="P29" s="10" t="s">
        <v>48</v>
      </c>
      <c r="Q29" s="10" t="s">
        <v>48</v>
      </c>
      <c r="R29" s="10">
        <v>6200</v>
      </c>
      <c r="S29" s="10" t="s">
        <v>48</v>
      </c>
      <c r="T29" s="10" t="s">
        <v>48</v>
      </c>
      <c r="U29" s="10" t="s">
        <v>48</v>
      </c>
      <c r="V29">
        <f t="shared" si="56"/>
        <v>0</v>
      </c>
      <c r="W29">
        <f t="shared" si="57"/>
        <v>7020</v>
      </c>
      <c r="X29">
        <f t="shared" si="58"/>
        <v>0</v>
      </c>
      <c r="Y29">
        <f t="shared" si="59"/>
        <v>6200</v>
      </c>
      <c r="Z29">
        <f t="shared" si="60"/>
        <v>13220</v>
      </c>
      <c r="AA29" s="11">
        <f>Z29/2</f>
        <v>6610</v>
      </c>
      <c r="AB29" s="12">
        <f t="shared" si="62"/>
        <v>1.1016666666666668</v>
      </c>
      <c r="AC29">
        <v>2</v>
      </c>
      <c r="AD29">
        <f t="shared" si="63"/>
        <v>12000</v>
      </c>
      <c r="AF29">
        <f t="shared" si="64"/>
        <v>0</v>
      </c>
      <c r="AG29">
        <f t="shared" si="65"/>
        <v>12000</v>
      </c>
      <c r="AH29">
        <f t="shared" si="66"/>
        <v>13200</v>
      </c>
      <c r="AI29" s="28"/>
      <c r="AJ29" s="28"/>
      <c r="AK29" s="13">
        <v>0</v>
      </c>
      <c r="AL29" s="13">
        <f t="shared" si="67"/>
        <v>0</v>
      </c>
      <c r="AM29" s="13">
        <f t="shared" si="68"/>
        <v>0</v>
      </c>
      <c r="AN29" s="13">
        <v>0</v>
      </c>
      <c r="AO29" s="13">
        <f t="shared" si="69"/>
        <v>0</v>
      </c>
      <c r="AP29">
        <f t="shared" si="70"/>
        <v>1220</v>
      </c>
    </row>
    <row r="30" spans="1:42" x14ac:dyDescent="0.3">
      <c r="A30" s="9" t="s">
        <v>91</v>
      </c>
      <c r="B30" s="10" t="s">
        <v>128</v>
      </c>
      <c r="C30" s="41">
        <v>6720</v>
      </c>
      <c r="D30" s="10">
        <v>6480</v>
      </c>
      <c r="E30" s="41">
        <v>5100</v>
      </c>
      <c r="F30" s="41">
        <v>5100</v>
      </c>
      <c r="G30" s="10">
        <v>6240</v>
      </c>
      <c r="H30" s="10">
        <v>9360</v>
      </c>
      <c r="I30" s="10">
        <v>8890</v>
      </c>
      <c r="J30" s="10">
        <v>6630</v>
      </c>
      <c r="K30" s="10">
        <v>7215</v>
      </c>
      <c r="L30" s="10">
        <v>6825</v>
      </c>
      <c r="M30" s="10">
        <v>6510</v>
      </c>
      <c r="N30" s="10">
        <v>6847</v>
      </c>
      <c r="O30" s="10">
        <v>6480</v>
      </c>
      <c r="P30" s="10" t="s">
        <v>24</v>
      </c>
      <c r="Q30" s="10">
        <v>7084</v>
      </c>
      <c r="R30" s="10" t="s">
        <v>24</v>
      </c>
      <c r="S30" s="10">
        <v>7064</v>
      </c>
      <c r="T30" s="10">
        <v>6960</v>
      </c>
      <c r="U30" s="10">
        <v>6424</v>
      </c>
      <c r="V30">
        <f t="shared" si="56"/>
        <v>23400</v>
      </c>
      <c r="W30">
        <f t="shared" si="57"/>
        <v>38335</v>
      </c>
      <c r="X30">
        <f t="shared" si="58"/>
        <v>26662</v>
      </c>
      <c r="Y30">
        <f t="shared" si="59"/>
        <v>27532</v>
      </c>
      <c r="Z30">
        <f t="shared" si="60"/>
        <v>115929</v>
      </c>
      <c r="AA30" s="11">
        <f t="shared" si="61"/>
        <v>5796.45</v>
      </c>
      <c r="AB30" s="12">
        <f t="shared" si="62"/>
        <v>1.1781402439024391</v>
      </c>
      <c r="AC30">
        <v>14</v>
      </c>
      <c r="AD30">
        <f t="shared" si="63"/>
        <v>84000</v>
      </c>
      <c r="AE30">
        <v>3</v>
      </c>
      <c r="AF30">
        <f t="shared" si="64"/>
        <v>14400</v>
      </c>
      <c r="AG30">
        <f t="shared" si="65"/>
        <v>98400</v>
      </c>
      <c r="AH30">
        <f t="shared" si="66"/>
        <v>108240</v>
      </c>
      <c r="AI30" s="28">
        <f>AH30-AG30</f>
        <v>9840</v>
      </c>
      <c r="AJ30" s="28">
        <f>Z30-AH30</f>
        <v>7689</v>
      </c>
      <c r="AK30" s="13">
        <v>1650</v>
      </c>
      <c r="AL30" s="13">
        <f t="shared" si="67"/>
        <v>492</v>
      </c>
      <c r="AM30" s="13">
        <f t="shared" si="68"/>
        <v>461.34</v>
      </c>
      <c r="AN30" s="13">
        <v>0</v>
      </c>
      <c r="AO30" s="13">
        <f t="shared" si="69"/>
        <v>2603.34</v>
      </c>
      <c r="AP30">
        <f t="shared" si="70"/>
        <v>17529</v>
      </c>
    </row>
    <row r="31" spans="1:42" x14ac:dyDescent="0.3">
      <c r="A31" s="9" t="s">
        <v>92</v>
      </c>
      <c r="B31" s="10" t="s">
        <v>128</v>
      </c>
      <c r="C31" s="41">
        <v>6660</v>
      </c>
      <c r="D31" s="41">
        <f>6540+600</f>
        <v>7140</v>
      </c>
      <c r="E31" s="41">
        <v>5400</v>
      </c>
      <c r="F31" s="41">
        <v>5400</v>
      </c>
      <c r="G31" s="10">
        <v>6240</v>
      </c>
      <c r="H31" s="10">
        <v>8775</v>
      </c>
      <c r="I31" s="10">
        <v>9280</v>
      </c>
      <c r="J31" s="10">
        <v>6630</v>
      </c>
      <c r="K31" s="10">
        <v>6630</v>
      </c>
      <c r="L31" s="10">
        <v>7410</v>
      </c>
      <c r="M31" s="10">
        <v>6200</v>
      </c>
      <c r="N31" s="10">
        <v>6998</v>
      </c>
      <c r="O31" s="10">
        <v>6228</v>
      </c>
      <c r="P31" s="10">
        <v>8085</v>
      </c>
      <c r="Q31" s="10">
        <v>7750</v>
      </c>
      <c r="R31" s="10">
        <v>6200</v>
      </c>
      <c r="S31" s="10">
        <v>6200</v>
      </c>
      <c r="T31" s="10">
        <f>7830+580</f>
        <v>8410</v>
      </c>
      <c r="U31" s="10">
        <v>6358</v>
      </c>
      <c r="V31">
        <f t="shared" si="56"/>
        <v>24600</v>
      </c>
      <c r="W31">
        <f t="shared" si="57"/>
        <v>37555</v>
      </c>
      <c r="X31">
        <f t="shared" si="58"/>
        <v>34921</v>
      </c>
      <c r="Y31">
        <f t="shared" si="59"/>
        <v>34918</v>
      </c>
      <c r="Z31">
        <f t="shared" si="60"/>
        <v>131994</v>
      </c>
      <c r="AA31" s="11">
        <f t="shared" si="61"/>
        <v>6599.7</v>
      </c>
      <c r="AB31" s="12">
        <f t="shared" si="62"/>
        <v>1.2087362637362637</v>
      </c>
      <c r="AC31">
        <v>15</v>
      </c>
      <c r="AD31">
        <f t="shared" si="63"/>
        <v>90000</v>
      </c>
      <c r="AE31">
        <v>4</v>
      </c>
      <c r="AF31">
        <f t="shared" si="64"/>
        <v>19200</v>
      </c>
      <c r="AG31">
        <f t="shared" si="65"/>
        <v>109200</v>
      </c>
      <c r="AH31">
        <f t="shared" si="66"/>
        <v>120120</v>
      </c>
      <c r="AI31" s="28">
        <f>AH31-AG31</f>
        <v>10920</v>
      </c>
      <c r="AJ31" s="28">
        <f>Z31-AH31</f>
        <v>11874</v>
      </c>
      <c r="AK31" s="13">
        <v>1650</v>
      </c>
      <c r="AL31" s="13">
        <f t="shared" si="67"/>
        <v>546</v>
      </c>
      <c r="AM31" s="13">
        <f t="shared" si="68"/>
        <v>712.43999999999994</v>
      </c>
      <c r="AN31" s="13">
        <v>0</v>
      </c>
      <c r="AO31" s="13">
        <f t="shared" si="69"/>
        <v>2908.44</v>
      </c>
      <c r="AP31">
        <f t="shared" si="70"/>
        <v>22794</v>
      </c>
    </row>
    <row r="32" spans="1:42" x14ac:dyDescent="0.3">
      <c r="A32" s="9" t="s">
        <v>93</v>
      </c>
      <c r="B32" s="10" t="s">
        <v>128</v>
      </c>
      <c r="C32" s="10">
        <v>5400</v>
      </c>
      <c r="D32" s="10">
        <v>6840</v>
      </c>
      <c r="E32" s="10" t="s">
        <v>24</v>
      </c>
      <c r="F32" s="41">
        <v>4800</v>
      </c>
      <c r="G32" s="10">
        <v>6120</v>
      </c>
      <c r="H32" s="10">
        <v>6870</v>
      </c>
      <c r="I32" s="10">
        <v>6090</v>
      </c>
      <c r="J32" s="10">
        <v>6380</v>
      </c>
      <c r="K32" s="10">
        <v>6090</v>
      </c>
      <c r="L32" s="10">
        <v>6710</v>
      </c>
      <c r="M32" s="10">
        <v>9280</v>
      </c>
      <c r="N32" s="10">
        <v>6090</v>
      </c>
      <c r="O32" s="10">
        <v>7330</v>
      </c>
      <c r="P32" s="10">
        <v>10150</v>
      </c>
      <c r="Q32" s="10">
        <v>6912</v>
      </c>
      <c r="R32" s="10">
        <v>6048</v>
      </c>
      <c r="S32" s="10" t="s">
        <v>24</v>
      </c>
      <c r="T32" s="10" t="s">
        <v>24</v>
      </c>
      <c r="U32" t="s">
        <v>130</v>
      </c>
      <c r="V32">
        <f t="shared" si="56"/>
        <v>17040</v>
      </c>
      <c r="W32">
        <f t="shared" si="57"/>
        <v>31550</v>
      </c>
      <c r="X32">
        <f t="shared" si="58"/>
        <v>39560</v>
      </c>
      <c r="Y32">
        <f t="shared" si="59"/>
        <v>12960</v>
      </c>
      <c r="Z32">
        <f t="shared" si="60"/>
        <v>101110</v>
      </c>
      <c r="AA32" s="11">
        <f t="shared" si="61"/>
        <v>5055.5</v>
      </c>
      <c r="AB32" s="12">
        <f t="shared" si="62"/>
        <v>1.0665611814345992</v>
      </c>
      <c r="AC32">
        <v>15</v>
      </c>
      <c r="AD32">
        <f t="shared" si="63"/>
        <v>90000</v>
      </c>
      <c r="AE32">
        <v>1</v>
      </c>
      <c r="AF32">
        <f t="shared" si="64"/>
        <v>4800</v>
      </c>
      <c r="AG32">
        <f t="shared" si="65"/>
        <v>94800</v>
      </c>
      <c r="AH32">
        <f t="shared" si="66"/>
        <v>104280</v>
      </c>
      <c r="AI32" s="28">
        <f>Z32-AG32</f>
        <v>6310</v>
      </c>
      <c r="AJ32" s="28"/>
      <c r="AK32" s="13">
        <v>1650</v>
      </c>
      <c r="AL32" s="13">
        <f t="shared" si="67"/>
        <v>315.5</v>
      </c>
      <c r="AM32" s="13">
        <f t="shared" si="68"/>
        <v>0</v>
      </c>
      <c r="AN32" s="13">
        <v>0</v>
      </c>
      <c r="AO32" s="13">
        <f t="shared" si="69"/>
        <v>1965.5</v>
      </c>
      <c r="AP32">
        <f t="shared" si="70"/>
        <v>6310</v>
      </c>
    </row>
    <row r="33" spans="1:42" x14ac:dyDescent="0.3">
      <c r="A33" s="9" t="s">
        <v>94</v>
      </c>
      <c r="B33" s="10" t="s">
        <v>128</v>
      </c>
      <c r="C33" s="41">
        <v>6360</v>
      </c>
      <c r="D33" s="10">
        <v>6480</v>
      </c>
      <c r="E33" s="41">
        <v>5700</v>
      </c>
      <c r="F33" s="41">
        <v>5700</v>
      </c>
      <c r="G33" s="10">
        <v>6160</v>
      </c>
      <c r="H33" s="10" t="s">
        <v>24</v>
      </c>
      <c r="I33" s="10" t="s">
        <v>24</v>
      </c>
      <c r="J33" s="10">
        <v>7800</v>
      </c>
      <c r="K33" s="10">
        <v>7215</v>
      </c>
      <c r="L33" s="10">
        <v>6825</v>
      </c>
      <c r="M33" s="10">
        <v>7130</v>
      </c>
      <c r="N33" s="10">
        <v>7171</v>
      </c>
      <c r="O33" s="10">
        <v>8490</v>
      </c>
      <c r="P33" s="10">
        <v>8285</v>
      </c>
      <c r="Q33" s="10">
        <v>7640</v>
      </c>
      <c r="R33" s="10">
        <v>7130</v>
      </c>
      <c r="S33" s="10">
        <v>7684</v>
      </c>
      <c r="T33" s="10">
        <v>6380</v>
      </c>
      <c r="U33" s="10">
        <v>6090</v>
      </c>
      <c r="V33">
        <f t="shared" si="56"/>
        <v>24240</v>
      </c>
      <c r="W33">
        <f t="shared" si="57"/>
        <v>21175</v>
      </c>
      <c r="X33">
        <f t="shared" si="58"/>
        <v>37901</v>
      </c>
      <c r="Y33">
        <f t="shared" si="59"/>
        <v>34924</v>
      </c>
      <c r="Z33">
        <f t="shared" si="60"/>
        <v>118240</v>
      </c>
      <c r="AA33" s="11">
        <f t="shared" si="61"/>
        <v>5912</v>
      </c>
      <c r="AB33" s="12">
        <f t="shared" si="62"/>
        <v>1.2016260162601626</v>
      </c>
      <c r="AC33">
        <v>14</v>
      </c>
      <c r="AD33">
        <f t="shared" si="63"/>
        <v>84000</v>
      </c>
      <c r="AE33">
        <v>3</v>
      </c>
      <c r="AF33">
        <f t="shared" si="64"/>
        <v>14400</v>
      </c>
      <c r="AG33">
        <f t="shared" si="65"/>
        <v>98400</v>
      </c>
      <c r="AH33">
        <f t="shared" si="66"/>
        <v>108240</v>
      </c>
      <c r="AI33" s="28">
        <f>AH33-AG33</f>
        <v>9840</v>
      </c>
      <c r="AJ33" s="28">
        <f>Z33-AH33</f>
        <v>10000</v>
      </c>
      <c r="AK33" s="13">
        <v>1650</v>
      </c>
      <c r="AL33" s="13">
        <f t="shared" si="67"/>
        <v>492</v>
      </c>
      <c r="AM33" s="13">
        <f t="shared" si="68"/>
        <v>600</v>
      </c>
      <c r="AN33" s="13">
        <v>0</v>
      </c>
      <c r="AO33" s="13">
        <f t="shared" si="69"/>
        <v>2742</v>
      </c>
      <c r="AP33">
        <f t="shared" si="70"/>
        <v>19840</v>
      </c>
    </row>
    <row r="34" spans="1:42" x14ac:dyDescent="0.3">
      <c r="A34" s="9" t="s">
        <v>95</v>
      </c>
      <c r="B34" s="10" t="s">
        <v>128</v>
      </c>
      <c r="C34" t="s">
        <v>130</v>
      </c>
      <c r="D34" t="s">
        <v>130</v>
      </c>
      <c r="E34" t="s">
        <v>130</v>
      </c>
      <c r="F34" t="s">
        <v>130</v>
      </c>
      <c r="G34" t="s">
        <v>130</v>
      </c>
      <c r="H34" t="s">
        <v>130</v>
      </c>
      <c r="I34" t="s">
        <v>130</v>
      </c>
      <c r="J34" t="s">
        <v>130</v>
      </c>
      <c r="K34" t="s">
        <v>130</v>
      </c>
      <c r="L34" t="s">
        <v>130</v>
      </c>
      <c r="M34" t="s">
        <v>130</v>
      </c>
      <c r="N34" t="s">
        <v>130</v>
      </c>
      <c r="O34" t="s">
        <v>130</v>
      </c>
      <c r="P34" t="s">
        <v>130</v>
      </c>
      <c r="Q34" t="s">
        <v>130</v>
      </c>
      <c r="R34" t="s">
        <v>130</v>
      </c>
      <c r="S34" t="s">
        <v>130</v>
      </c>
      <c r="T34" t="s">
        <v>130</v>
      </c>
      <c r="U34" t="s">
        <v>130</v>
      </c>
      <c r="V34">
        <f t="shared" si="56"/>
        <v>0</v>
      </c>
      <c r="W34">
        <f t="shared" si="57"/>
        <v>0</v>
      </c>
      <c r="X34">
        <f t="shared" si="58"/>
        <v>0</v>
      </c>
      <c r="Y34">
        <f t="shared" si="59"/>
        <v>0</v>
      </c>
      <c r="Z34">
        <f t="shared" si="60"/>
        <v>0</v>
      </c>
      <c r="AA34" s="11">
        <f t="shared" si="61"/>
        <v>0</v>
      </c>
      <c r="AB34" s="12">
        <f t="shared" si="62"/>
        <v>0</v>
      </c>
      <c r="AC34">
        <v>19</v>
      </c>
      <c r="AD34">
        <f t="shared" si="63"/>
        <v>114000</v>
      </c>
      <c r="AF34">
        <f t="shared" si="64"/>
        <v>0</v>
      </c>
      <c r="AG34">
        <f t="shared" si="65"/>
        <v>114000</v>
      </c>
      <c r="AH34">
        <f t="shared" si="66"/>
        <v>125400</v>
      </c>
      <c r="AI34" s="28"/>
      <c r="AJ34" s="28"/>
      <c r="AK34" s="13">
        <v>0</v>
      </c>
      <c r="AL34" s="13">
        <f t="shared" si="67"/>
        <v>0</v>
      </c>
      <c r="AM34" s="13">
        <f t="shared" si="68"/>
        <v>0</v>
      </c>
      <c r="AN34" s="13">
        <v>0</v>
      </c>
      <c r="AO34" s="13">
        <f t="shared" si="69"/>
        <v>0</v>
      </c>
      <c r="AP34">
        <f t="shared" si="70"/>
        <v>-114000</v>
      </c>
    </row>
    <row r="35" spans="1:42" x14ac:dyDescent="0.3">
      <c r="A35" s="9"/>
      <c r="B35" s="10"/>
      <c r="AA35" s="11"/>
      <c r="AB35" s="12"/>
      <c r="AK35" s="13"/>
      <c r="AL35" s="13"/>
      <c r="AM35" s="13"/>
      <c r="AN35" s="13"/>
      <c r="AO35" s="13"/>
    </row>
    <row r="36" spans="1:42" ht="45" customHeight="1" x14ac:dyDescent="0.3">
      <c r="B36" s="48" t="s">
        <v>68</v>
      </c>
      <c r="C36" s="48"/>
      <c r="D36" s="48"/>
      <c r="E36" s="48"/>
      <c r="F36" s="48"/>
      <c r="G36" s="49" t="s">
        <v>69</v>
      </c>
      <c r="H36" s="49"/>
      <c r="I36" s="49"/>
      <c r="J36" s="49"/>
      <c r="K36" s="49"/>
      <c r="L36" s="48" t="s">
        <v>70</v>
      </c>
      <c r="M36" s="48"/>
      <c r="N36" s="48"/>
      <c r="O36" s="48"/>
      <c r="P36" s="48"/>
      <c r="Q36" s="49" t="s">
        <v>144</v>
      </c>
      <c r="R36" s="49"/>
      <c r="S36" s="49"/>
      <c r="T36" s="49"/>
      <c r="U36" s="49"/>
      <c r="V36" s="50" t="s">
        <v>0</v>
      </c>
      <c r="W36" s="50"/>
      <c r="X36" s="50"/>
      <c r="Y36" s="50"/>
      <c r="Z36" s="51" t="s">
        <v>1</v>
      </c>
      <c r="AA36" s="52" t="s">
        <v>2</v>
      </c>
      <c r="AB36" s="52"/>
      <c r="AC36" s="53" t="s">
        <v>3</v>
      </c>
      <c r="AD36" s="53"/>
      <c r="AE36" s="53"/>
      <c r="AF36" s="53"/>
      <c r="AG36" s="52" t="s">
        <v>4</v>
      </c>
      <c r="AH36" s="52"/>
      <c r="AI36" s="54" t="s">
        <v>5</v>
      </c>
      <c r="AJ36" s="54"/>
      <c r="AK36" s="55" t="s">
        <v>6</v>
      </c>
      <c r="AL36" s="55"/>
      <c r="AM36" s="55"/>
      <c r="AN36" s="55"/>
      <c r="AO36" s="55"/>
      <c r="AP36" s="47" t="s">
        <v>7</v>
      </c>
    </row>
    <row r="37" spans="1:42" ht="15.6" x14ac:dyDescent="0.3">
      <c r="A37" s="2" t="s">
        <v>39</v>
      </c>
      <c r="B37" s="3">
        <v>46115</v>
      </c>
      <c r="C37" s="3">
        <v>46118</v>
      </c>
      <c r="D37" s="3">
        <v>46119</v>
      </c>
      <c r="E37" s="3">
        <v>46120</v>
      </c>
      <c r="F37" s="3">
        <v>46121</v>
      </c>
      <c r="G37" s="25">
        <v>46122</v>
      </c>
      <c r="H37" s="25">
        <v>46125</v>
      </c>
      <c r="I37" s="25">
        <v>46126</v>
      </c>
      <c r="J37" s="25">
        <v>46127</v>
      </c>
      <c r="K37" s="25">
        <v>46128</v>
      </c>
      <c r="L37" s="3">
        <v>46129</v>
      </c>
      <c r="M37" s="3">
        <v>46132</v>
      </c>
      <c r="N37" s="3">
        <v>46133</v>
      </c>
      <c r="O37" s="3">
        <v>46134</v>
      </c>
      <c r="P37" s="3">
        <v>46135</v>
      </c>
      <c r="Q37" s="25">
        <v>46136</v>
      </c>
      <c r="R37" s="25">
        <v>46139</v>
      </c>
      <c r="S37" s="25">
        <v>46140</v>
      </c>
      <c r="T37" s="25">
        <v>46141</v>
      </c>
      <c r="U37" s="25">
        <v>46142</v>
      </c>
      <c r="V37" s="24" t="s">
        <v>68</v>
      </c>
      <c r="W37" s="24" t="s">
        <v>69</v>
      </c>
      <c r="X37" s="24" t="s">
        <v>70</v>
      </c>
      <c r="Y37" s="24" t="s">
        <v>144</v>
      </c>
      <c r="Z37" s="51"/>
      <c r="AA37" s="4" t="s">
        <v>9</v>
      </c>
      <c r="AB37" s="4" t="s">
        <v>10</v>
      </c>
      <c r="AC37" s="5" t="s">
        <v>57</v>
      </c>
      <c r="AD37" s="5" t="s">
        <v>58</v>
      </c>
      <c r="AE37" s="5"/>
      <c r="AF37" s="5"/>
      <c r="AG37" s="6">
        <v>1</v>
      </c>
      <c r="AH37" s="6">
        <v>1.1000000000000001</v>
      </c>
      <c r="AI37" s="7">
        <v>1</v>
      </c>
      <c r="AJ37" s="7">
        <v>1.1000000000000001</v>
      </c>
      <c r="AK37" s="8" t="s">
        <v>14</v>
      </c>
      <c r="AL37" s="8" t="s">
        <v>15</v>
      </c>
      <c r="AM37" s="8" t="s">
        <v>16</v>
      </c>
      <c r="AN37" s="8" t="s">
        <v>17</v>
      </c>
      <c r="AO37" s="8" t="s">
        <v>18</v>
      </c>
      <c r="AP37" s="47"/>
    </row>
    <row r="38" spans="1:42" x14ac:dyDescent="0.3">
      <c r="A38" s="9" t="s">
        <v>96</v>
      </c>
      <c r="B38" s="10" t="s">
        <v>128</v>
      </c>
      <c r="C38" s="29">
        <v>19</v>
      </c>
      <c r="D38" s="29">
        <v>15</v>
      </c>
      <c r="E38" s="29">
        <v>23</v>
      </c>
      <c r="F38" s="29">
        <v>29</v>
      </c>
      <c r="G38" s="29">
        <v>25</v>
      </c>
      <c r="H38" s="10">
        <v>21</v>
      </c>
      <c r="I38" s="29" t="s">
        <v>48</v>
      </c>
      <c r="J38" s="29">
        <v>4</v>
      </c>
      <c r="K38" s="29">
        <v>20</v>
      </c>
      <c r="L38" s="29">
        <v>23</v>
      </c>
      <c r="M38" s="10" t="s">
        <v>31</v>
      </c>
      <c r="N38" s="29">
        <v>15</v>
      </c>
      <c r="O38" s="29">
        <v>25</v>
      </c>
      <c r="P38" s="29">
        <v>22</v>
      </c>
      <c r="Q38" s="29">
        <v>19</v>
      </c>
      <c r="R38" s="29">
        <v>18</v>
      </c>
      <c r="S38" s="29">
        <v>37</v>
      </c>
      <c r="T38" s="29">
        <v>8</v>
      </c>
      <c r="U38" s="10" t="s">
        <v>48</v>
      </c>
      <c r="V38">
        <f>SUM(B38:L38)</f>
        <v>179</v>
      </c>
      <c r="W38">
        <f>SUM(G38:K38)</f>
        <v>70</v>
      </c>
      <c r="X38">
        <f>SUM(L38:P38)</f>
        <v>85</v>
      </c>
      <c r="Y38">
        <f t="shared" ref="Y38" si="71">SUM(Q38:U38)</f>
        <v>82</v>
      </c>
      <c r="Z38">
        <f t="shared" ref="Z38" si="72">SUM(V38:Y38)</f>
        <v>416</v>
      </c>
      <c r="AA38" s="11">
        <f>Z38/20</f>
        <v>20.8</v>
      </c>
      <c r="AB38" s="16">
        <f>AA38/46</f>
        <v>0.45217391304347826</v>
      </c>
      <c r="AC38">
        <v>18</v>
      </c>
      <c r="AD38">
        <f t="shared" ref="AD38" si="73">AC38*59</f>
        <v>1062</v>
      </c>
      <c r="AG38">
        <f t="shared" ref="AG38" si="74">AD38+AF38</f>
        <v>1062</v>
      </c>
      <c r="AH38" t="s">
        <v>60</v>
      </c>
      <c r="AK38" s="13">
        <v>0</v>
      </c>
      <c r="AL38" s="17">
        <v>0</v>
      </c>
      <c r="AM38" s="17"/>
      <c r="AN38" s="17">
        <v>0</v>
      </c>
      <c r="AO38" s="13">
        <f t="shared" ref="AO38" si="75">AK38+AL38+AM38-AN38</f>
        <v>0</v>
      </c>
      <c r="AP38">
        <f t="shared" ref="AP38" si="76">Z38-AG38</f>
        <v>-646</v>
      </c>
    </row>
    <row r="39" spans="1:42" x14ac:dyDescent="0.3">
      <c r="A39" s="9" t="s">
        <v>136</v>
      </c>
      <c r="B39" s="10" t="s">
        <v>128</v>
      </c>
      <c r="C39" t="s">
        <v>133</v>
      </c>
      <c r="D39" t="s">
        <v>133</v>
      </c>
      <c r="E39" t="s">
        <v>133</v>
      </c>
      <c r="F39" t="s">
        <v>133</v>
      </c>
      <c r="G39" t="s">
        <v>133</v>
      </c>
      <c r="H39" t="s">
        <v>133</v>
      </c>
      <c r="I39" t="s">
        <v>133</v>
      </c>
      <c r="J39" t="s">
        <v>133</v>
      </c>
      <c r="K39" t="s">
        <v>133</v>
      </c>
      <c r="L39" t="s">
        <v>133</v>
      </c>
      <c r="M39">
        <v>2</v>
      </c>
      <c r="N39">
        <v>16</v>
      </c>
      <c r="O39">
        <v>31</v>
      </c>
      <c r="P39">
        <v>31</v>
      </c>
      <c r="Q39">
        <v>29</v>
      </c>
      <c r="R39">
        <v>26</v>
      </c>
      <c r="S39">
        <v>28</v>
      </c>
      <c r="T39">
        <v>29</v>
      </c>
      <c r="U39" s="29">
        <v>14</v>
      </c>
      <c r="V39">
        <f>SUM(B39:L39)</f>
        <v>0</v>
      </c>
      <c r="W39">
        <f>SUM(G39:K39)</f>
        <v>0</v>
      </c>
      <c r="X39">
        <f>SUM(L39:P39)</f>
        <v>80</v>
      </c>
      <c r="Y39">
        <f t="shared" ref="Y39" si="77">SUM(Q39:U39)</f>
        <v>126</v>
      </c>
      <c r="Z39">
        <f t="shared" ref="Z39" si="78">SUM(V39:Y39)</f>
        <v>206</v>
      </c>
      <c r="AA39" s="11">
        <f>Z39/20</f>
        <v>10.3</v>
      </c>
      <c r="AB39" s="16">
        <f>AA39/46</f>
        <v>0.22391304347826088</v>
      </c>
      <c r="AC39">
        <v>19</v>
      </c>
      <c r="AD39">
        <f t="shared" ref="AD39" si="79">AC39*59</f>
        <v>1121</v>
      </c>
      <c r="AK39" s="13"/>
      <c r="AL39" s="17"/>
      <c r="AM39" s="17"/>
      <c r="AN39" s="17"/>
      <c r="AO39" s="13"/>
    </row>
    <row r="40" spans="1:42" x14ac:dyDescent="0.3">
      <c r="A40" s="9"/>
      <c r="B40" s="10"/>
      <c r="U40" s="30"/>
      <c r="AA40" s="11"/>
      <c r="AB40" s="16"/>
      <c r="AK40" s="13"/>
      <c r="AL40" s="17"/>
      <c r="AM40" s="17"/>
      <c r="AN40" s="17"/>
      <c r="AO40" s="13"/>
    </row>
    <row r="41" spans="1:42" ht="45" customHeight="1" x14ac:dyDescent="0.3">
      <c r="B41" s="48" t="s">
        <v>68</v>
      </c>
      <c r="C41" s="48"/>
      <c r="D41" s="48"/>
      <c r="E41" s="48"/>
      <c r="F41" s="48"/>
      <c r="G41" s="49" t="s">
        <v>69</v>
      </c>
      <c r="H41" s="49"/>
      <c r="I41" s="49"/>
      <c r="J41" s="49"/>
      <c r="K41" s="49"/>
      <c r="L41" s="48" t="s">
        <v>70</v>
      </c>
      <c r="M41" s="48"/>
      <c r="N41" s="48"/>
      <c r="O41" s="48"/>
      <c r="P41" s="48"/>
      <c r="Q41" s="49" t="s">
        <v>144</v>
      </c>
      <c r="R41" s="49"/>
      <c r="S41" s="49"/>
      <c r="T41" s="49"/>
      <c r="U41" s="49"/>
      <c r="V41" s="50" t="s">
        <v>0</v>
      </c>
      <c r="W41" s="50"/>
      <c r="X41" s="50"/>
      <c r="Y41" s="50"/>
      <c r="Z41" s="51" t="s">
        <v>1</v>
      </c>
      <c r="AA41" s="52" t="s">
        <v>2</v>
      </c>
      <c r="AB41" s="52"/>
      <c r="AC41" s="53" t="s">
        <v>3</v>
      </c>
      <c r="AD41" s="53"/>
      <c r="AE41" s="53"/>
      <c r="AF41" s="53"/>
      <c r="AG41" s="52" t="s">
        <v>4</v>
      </c>
      <c r="AH41" s="52"/>
      <c r="AI41" s="54" t="s">
        <v>5</v>
      </c>
      <c r="AJ41" s="54"/>
      <c r="AK41" s="55" t="s">
        <v>6</v>
      </c>
      <c r="AL41" s="55"/>
      <c r="AM41" s="55"/>
      <c r="AN41" s="55"/>
      <c r="AO41" s="55"/>
      <c r="AP41" s="47" t="s">
        <v>7</v>
      </c>
    </row>
    <row r="42" spans="1:42" ht="15.6" x14ac:dyDescent="0.3">
      <c r="A42" s="2" t="s">
        <v>23</v>
      </c>
      <c r="B42" s="3">
        <v>46115</v>
      </c>
      <c r="C42" s="3">
        <v>46118</v>
      </c>
      <c r="D42" s="3">
        <v>46119</v>
      </c>
      <c r="E42" s="3">
        <v>46120</v>
      </c>
      <c r="F42" s="3">
        <v>46121</v>
      </c>
      <c r="G42" s="25">
        <v>46122</v>
      </c>
      <c r="H42" s="25">
        <v>46125</v>
      </c>
      <c r="I42" s="25">
        <v>46126</v>
      </c>
      <c r="J42" s="25">
        <v>46127</v>
      </c>
      <c r="K42" s="25">
        <v>46128</v>
      </c>
      <c r="L42" s="3">
        <v>46129</v>
      </c>
      <c r="M42" s="3">
        <v>46132</v>
      </c>
      <c r="N42" s="3">
        <v>46133</v>
      </c>
      <c r="O42" s="3">
        <v>46134</v>
      </c>
      <c r="P42" s="3">
        <v>46135</v>
      </c>
      <c r="Q42" s="25">
        <v>46136</v>
      </c>
      <c r="R42" s="25">
        <v>46139</v>
      </c>
      <c r="S42" s="25">
        <v>46140</v>
      </c>
      <c r="T42" s="25">
        <v>46141</v>
      </c>
      <c r="U42" s="25">
        <v>46142</v>
      </c>
      <c r="V42" s="24" t="s">
        <v>68</v>
      </c>
      <c r="W42" s="24" t="s">
        <v>69</v>
      </c>
      <c r="X42" s="24" t="s">
        <v>70</v>
      </c>
      <c r="Y42" s="24" t="s">
        <v>144</v>
      </c>
      <c r="Z42" s="51"/>
      <c r="AA42" s="4" t="s">
        <v>9</v>
      </c>
      <c r="AB42" s="4" t="s">
        <v>10</v>
      </c>
      <c r="AC42" s="5" t="s">
        <v>57</v>
      </c>
      <c r="AD42" s="5" t="s">
        <v>58</v>
      </c>
      <c r="AE42" s="5"/>
      <c r="AF42" s="5"/>
      <c r="AG42" s="6">
        <v>1</v>
      </c>
      <c r="AH42" s="6">
        <v>1.1000000000000001</v>
      </c>
      <c r="AI42" s="7">
        <v>1</v>
      </c>
      <c r="AJ42" s="7">
        <v>1.1000000000000001</v>
      </c>
      <c r="AK42" s="8" t="s">
        <v>14</v>
      </c>
      <c r="AL42" s="8" t="s">
        <v>15</v>
      </c>
      <c r="AM42" s="8" t="s">
        <v>16</v>
      </c>
      <c r="AN42" s="8" t="s">
        <v>17</v>
      </c>
      <c r="AO42" s="8" t="s">
        <v>18</v>
      </c>
      <c r="AP42" s="47"/>
    </row>
    <row r="43" spans="1:42" ht="15.6" x14ac:dyDescent="0.3">
      <c r="A43" s="9" t="s">
        <v>89</v>
      </c>
      <c r="B43" s="10" t="s">
        <v>128</v>
      </c>
      <c r="C43" s="19">
        <v>6</v>
      </c>
      <c r="D43" s="19">
        <v>7</v>
      </c>
      <c r="E43" s="19">
        <v>7</v>
      </c>
      <c r="F43" s="20" t="s">
        <v>129</v>
      </c>
      <c r="G43" s="19">
        <v>8</v>
      </c>
      <c r="H43" s="19">
        <v>7</v>
      </c>
      <c r="I43" s="19">
        <v>7</v>
      </c>
      <c r="J43" s="19">
        <v>7</v>
      </c>
      <c r="K43" s="19">
        <v>6</v>
      </c>
      <c r="L43" s="19">
        <v>7</v>
      </c>
      <c r="M43" s="19">
        <v>7</v>
      </c>
      <c r="N43" s="19">
        <v>7</v>
      </c>
      <c r="O43" s="19">
        <v>5</v>
      </c>
      <c r="P43" s="19">
        <v>7</v>
      </c>
      <c r="Q43" s="19">
        <v>7</v>
      </c>
      <c r="R43" s="19">
        <v>7</v>
      </c>
      <c r="S43" s="19">
        <v>2</v>
      </c>
      <c r="T43" s="19">
        <v>7</v>
      </c>
      <c r="U43" s="19">
        <v>7</v>
      </c>
      <c r="V43">
        <f>SUM(B43:F43)</f>
        <v>20</v>
      </c>
      <c r="W43">
        <f>SUM(G43:K43)</f>
        <v>35</v>
      </c>
      <c r="X43">
        <f>SUM(L43:P43)</f>
        <v>33</v>
      </c>
      <c r="Y43">
        <f t="shared" ref="Y43:Y46" si="80">SUM(Q43:U43)</f>
        <v>30</v>
      </c>
      <c r="Z43">
        <f t="shared" ref="Z43:Z46" si="81">SUM(V43:Y43)</f>
        <v>118</v>
      </c>
      <c r="AA43" s="11">
        <f t="shared" ref="AA43:AA45" si="82">Z43/19</f>
        <v>6.2105263157894735</v>
      </c>
      <c r="AB43" s="16">
        <f>AA43/8</f>
        <v>0.77631578947368418</v>
      </c>
      <c r="AG43">
        <f t="shared" ref="AG43" si="83">AD43+AF43</f>
        <v>0</v>
      </c>
      <c r="AI43">
        <v>3</v>
      </c>
      <c r="AK43" s="17">
        <v>0</v>
      </c>
      <c r="AL43" s="17">
        <v>0</v>
      </c>
      <c r="AM43" s="17">
        <f t="shared" ref="AM43" si="84">AJ43*0.06</f>
        <v>0</v>
      </c>
      <c r="AN43" s="17">
        <v>0</v>
      </c>
      <c r="AO43" s="13">
        <f t="shared" ref="AO43" si="85">AK43+AL43+AM43-AN43</f>
        <v>0</v>
      </c>
      <c r="AP43">
        <f t="shared" ref="AP43" si="86">Z43-AG43</f>
        <v>118</v>
      </c>
    </row>
    <row r="44" spans="1:42" ht="15.6" x14ac:dyDescent="0.3">
      <c r="A44" s="9" t="s">
        <v>97</v>
      </c>
      <c r="B44" s="10" t="s">
        <v>128</v>
      </c>
      <c r="C44" s="19">
        <v>8</v>
      </c>
      <c r="D44" s="19">
        <v>8</v>
      </c>
      <c r="E44" s="19">
        <v>8</v>
      </c>
      <c r="F44" s="19">
        <v>8</v>
      </c>
      <c r="G44" s="19">
        <v>8</v>
      </c>
      <c r="H44" s="19">
        <v>8</v>
      </c>
      <c r="I44" s="19">
        <v>8</v>
      </c>
      <c r="J44" s="19">
        <v>8</v>
      </c>
      <c r="K44" s="19">
        <v>5</v>
      </c>
      <c r="L44" s="19">
        <v>8</v>
      </c>
      <c r="M44" s="19">
        <v>9</v>
      </c>
      <c r="N44" s="19">
        <v>8</v>
      </c>
      <c r="O44" s="19">
        <v>9</v>
      </c>
      <c r="P44" s="19">
        <v>9</v>
      </c>
      <c r="Q44" s="19">
        <v>8</v>
      </c>
      <c r="R44" s="19">
        <v>8</v>
      </c>
      <c r="S44" s="19">
        <v>8</v>
      </c>
      <c r="T44" s="19">
        <v>8</v>
      </c>
      <c r="U44" s="19">
        <v>8</v>
      </c>
      <c r="V44">
        <f>SUM(B44:F44)</f>
        <v>32</v>
      </c>
      <c r="W44">
        <f>SUM(G44:K44)</f>
        <v>37</v>
      </c>
      <c r="X44">
        <f t="shared" ref="X44:X46" si="87">SUM(L44:P44)</f>
        <v>43</v>
      </c>
      <c r="Y44">
        <f t="shared" si="80"/>
        <v>40</v>
      </c>
      <c r="Z44">
        <f t="shared" si="81"/>
        <v>152</v>
      </c>
      <c r="AA44" s="11">
        <f t="shared" si="82"/>
        <v>8</v>
      </c>
      <c r="AB44" s="16">
        <f t="shared" ref="AB44:AB47" si="88">AA44/8</f>
        <v>1</v>
      </c>
      <c r="AG44">
        <f t="shared" ref="AG44:AG47" si="89">AD44+AF44</f>
        <v>0</v>
      </c>
      <c r="AI44">
        <v>3</v>
      </c>
      <c r="AK44" s="17">
        <v>1650</v>
      </c>
      <c r="AL44" s="17">
        <v>0</v>
      </c>
      <c r="AM44" s="17">
        <f t="shared" ref="AM44:AM47" si="90">AJ44*0.06</f>
        <v>0</v>
      </c>
      <c r="AN44" s="17">
        <v>0</v>
      </c>
      <c r="AO44" s="13">
        <f t="shared" ref="AO44:AO47" si="91">AK44+AL44+AM44-AN44</f>
        <v>1650</v>
      </c>
      <c r="AP44">
        <f t="shared" ref="AP44:AP47" si="92">Z44-AG44</f>
        <v>152</v>
      </c>
    </row>
    <row r="45" spans="1:42" ht="15.6" x14ac:dyDescent="0.3">
      <c r="A45" s="9" t="s">
        <v>81</v>
      </c>
      <c r="B45" s="10" t="s">
        <v>128</v>
      </c>
      <c r="C45" t="s">
        <v>48</v>
      </c>
      <c r="D45" t="s">
        <v>48</v>
      </c>
      <c r="E45" t="s">
        <v>48</v>
      </c>
      <c r="F45" s="19">
        <v>7</v>
      </c>
      <c r="G45" s="19">
        <v>7</v>
      </c>
      <c r="H45" t="s">
        <v>48</v>
      </c>
      <c r="I45" t="s">
        <v>48</v>
      </c>
      <c r="J45" t="s">
        <v>48</v>
      </c>
      <c r="K45" t="s">
        <v>48</v>
      </c>
      <c r="L45" t="s">
        <v>48</v>
      </c>
      <c r="M45" t="s">
        <v>48</v>
      </c>
      <c r="N45" t="s">
        <v>48</v>
      </c>
      <c r="O45" t="s">
        <v>48</v>
      </c>
      <c r="P45" t="s">
        <v>48</v>
      </c>
      <c r="Q45" t="s">
        <v>48</v>
      </c>
      <c r="R45" t="s">
        <v>48</v>
      </c>
      <c r="S45" t="s">
        <v>48</v>
      </c>
      <c r="T45" t="s">
        <v>48</v>
      </c>
      <c r="U45" t="s">
        <v>48</v>
      </c>
      <c r="V45">
        <f>SUM(B45:F45)</f>
        <v>7</v>
      </c>
      <c r="W45">
        <f>SUM(G45:K45)</f>
        <v>7</v>
      </c>
      <c r="X45">
        <f t="shared" si="87"/>
        <v>0</v>
      </c>
      <c r="Y45">
        <f t="shared" si="80"/>
        <v>0</v>
      </c>
      <c r="Z45">
        <f t="shared" si="81"/>
        <v>14</v>
      </c>
      <c r="AA45" s="11">
        <f t="shared" si="82"/>
        <v>0.73684210526315785</v>
      </c>
      <c r="AB45" s="16">
        <f t="shared" si="88"/>
        <v>9.2105263157894732E-2</v>
      </c>
      <c r="AG45">
        <f t="shared" si="89"/>
        <v>0</v>
      </c>
      <c r="AI45">
        <v>3</v>
      </c>
      <c r="AK45" s="17">
        <v>0</v>
      </c>
      <c r="AL45" s="17">
        <v>0</v>
      </c>
      <c r="AM45" s="17">
        <f t="shared" si="90"/>
        <v>0</v>
      </c>
      <c r="AN45" s="17">
        <v>0</v>
      </c>
      <c r="AO45" s="13">
        <f t="shared" si="91"/>
        <v>0</v>
      </c>
      <c r="AP45">
        <f t="shared" si="92"/>
        <v>14</v>
      </c>
    </row>
    <row r="46" spans="1:42" ht="15.6" x14ac:dyDescent="0.3">
      <c r="A46" s="9" t="s">
        <v>73</v>
      </c>
      <c r="B46" s="10" t="s">
        <v>128</v>
      </c>
      <c r="C46" t="s">
        <v>48</v>
      </c>
      <c r="D46" t="s">
        <v>48</v>
      </c>
      <c r="E46" t="s">
        <v>48</v>
      </c>
      <c r="F46" s="19">
        <v>8</v>
      </c>
      <c r="G46" t="s">
        <v>48</v>
      </c>
      <c r="H46" t="s">
        <v>48</v>
      </c>
      <c r="I46" t="s">
        <v>48</v>
      </c>
      <c r="J46" s="19">
        <v>7</v>
      </c>
      <c r="K46" s="19">
        <v>5</v>
      </c>
      <c r="L46" s="19">
        <v>8</v>
      </c>
      <c r="M46" s="19">
        <v>8</v>
      </c>
      <c r="N46" s="19">
        <v>10</v>
      </c>
      <c r="O46" s="19">
        <v>8</v>
      </c>
      <c r="P46" s="19">
        <v>9</v>
      </c>
      <c r="Q46" s="19">
        <v>8</v>
      </c>
      <c r="R46" s="19">
        <v>9</v>
      </c>
      <c r="S46" s="19">
        <v>8</v>
      </c>
      <c r="T46" s="19">
        <v>8</v>
      </c>
      <c r="U46" s="19">
        <v>8</v>
      </c>
      <c r="V46">
        <f>SUM(B46:F46)</f>
        <v>8</v>
      </c>
      <c r="W46">
        <f>SUM(G46:K46)</f>
        <v>12</v>
      </c>
      <c r="X46">
        <f t="shared" si="87"/>
        <v>43</v>
      </c>
      <c r="Y46">
        <f t="shared" si="80"/>
        <v>41</v>
      </c>
      <c r="Z46">
        <f t="shared" si="81"/>
        <v>104</v>
      </c>
      <c r="AA46" s="11">
        <f>Z46/13</f>
        <v>8</v>
      </c>
      <c r="AB46" s="16">
        <f t="shared" si="88"/>
        <v>1</v>
      </c>
      <c r="AG46">
        <f t="shared" si="89"/>
        <v>0</v>
      </c>
      <c r="AI46">
        <v>3</v>
      </c>
      <c r="AK46" s="17">
        <v>1650</v>
      </c>
      <c r="AL46" s="17">
        <f>720*0.1</f>
        <v>72</v>
      </c>
      <c r="AM46" s="17">
        <f t="shared" si="90"/>
        <v>0</v>
      </c>
      <c r="AN46" s="17">
        <v>0</v>
      </c>
      <c r="AO46" s="13">
        <f t="shared" si="91"/>
        <v>1722</v>
      </c>
      <c r="AP46">
        <f t="shared" si="92"/>
        <v>104</v>
      </c>
    </row>
    <row r="47" spans="1:42" ht="15.6" x14ac:dyDescent="0.3">
      <c r="A47" s="9" t="s">
        <v>85</v>
      </c>
      <c r="B47" t="s">
        <v>48</v>
      </c>
      <c r="C47" t="s">
        <v>48</v>
      </c>
      <c r="D47" t="s">
        <v>48</v>
      </c>
      <c r="E47" t="s">
        <v>48</v>
      </c>
      <c r="F47" t="s">
        <v>48</v>
      </c>
      <c r="G47" t="s">
        <v>48</v>
      </c>
      <c r="H47" s="19">
        <v>8</v>
      </c>
      <c r="I47" t="s">
        <v>48</v>
      </c>
      <c r="J47" t="s">
        <v>48</v>
      </c>
      <c r="K47" t="s">
        <v>48</v>
      </c>
      <c r="L47" t="s">
        <v>48</v>
      </c>
      <c r="M47" t="s">
        <v>48</v>
      </c>
      <c r="N47" t="s">
        <v>48</v>
      </c>
      <c r="O47" t="s">
        <v>48</v>
      </c>
      <c r="P47" t="s">
        <v>48</v>
      </c>
      <c r="Q47" t="s">
        <v>48</v>
      </c>
      <c r="R47" t="s">
        <v>48</v>
      </c>
      <c r="S47" t="s">
        <v>48</v>
      </c>
      <c r="T47" t="s">
        <v>48</v>
      </c>
      <c r="U47" t="s">
        <v>48</v>
      </c>
      <c r="V47">
        <f t="shared" ref="V47" si="93">SUM(B47:F47)</f>
        <v>0</v>
      </c>
      <c r="W47">
        <f t="shared" ref="W47" si="94">SUM(G47:K47)</f>
        <v>8</v>
      </c>
      <c r="X47">
        <f t="shared" ref="X47" si="95">SUM(L47:P47)</f>
        <v>0</v>
      </c>
      <c r="Y47">
        <f t="shared" ref="Y47" si="96">SUM(Q47:U47)</f>
        <v>0</v>
      </c>
      <c r="Z47">
        <f t="shared" ref="Z47" si="97">SUM(V47:Y47)</f>
        <v>8</v>
      </c>
      <c r="AA47" s="11">
        <f>Z47/1</f>
        <v>8</v>
      </c>
      <c r="AB47" s="16">
        <f t="shared" si="88"/>
        <v>1</v>
      </c>
      <c r="AG47">
        <f t="shared" si="89"/>
        <v>0</v>
      </c>
      <c r="AI47">
        <v>3</v>
      </c>
      <c r="AK47" s="17">
        <v>0</v>
      </c>
      <c r="AL47" s="17">
        <v>0</v>
      </c>
      <c r="AM47" s="17">
        <f t="shared" si="90"/>
        <v>0</v>
      </c>
      <c r="AN47" s="17">
        <v>0</v>
      </c>
      <c r="AO47" s="13">
        <f t="shared" si="91"/>
        <v>0</v>
      </c>
      <c r="AP47">
        <f t="shared" si="92"/>
        <v>8</v>
      </c>
    </row>
    <row r="48" spans="1:42" x14ac:dyDescent="0.3">
      <c r="A48" s="21" t="s">
        <v>65</v>
      </c>
      <c r="Q48" s="31"/>
      <c r="Z48" s="11"/>
      <c r="AA48" s="16"/>
    </row>
    <row r="49" spans="1:11" ht="15.6" x14ac:dyDescent="0.3">
      <c r="A49" s="18" t="s">
        <v>66</v>
      </c>
    </row>
    <row r="50" spans="1:11" ht="15.6" x14ac:dyDescent="0.3">
      <c r="A50" s="19" t="s">
        <v>67</v>
      </c>
      <c r="J50">
        <v>1</v>
      </c>
      <c r="K50">
        <v>3</v>
      </c>
    </row>
    <row r="51" spans="1:11" x14ac:dyDescent="0.3">
      <c r="C51">
        <v>3000</v>
      </c>
      <c r="D51">
        <v>3300</v>
      </c>
      <c r="E51">
        <v>2700</v>
      </c>
      <c r="G51" s="10"/>
      <c r="H51" s="10">
        <v>2610</v>
      </c>
      <c r="I51" s="10">
        <v>3120</v>
      </c>
      <c r="J51">
        <v>390</v>
      </c>
      <c r="K51">
        <f>SUM(C51:J51)</f>
        <v>15120</v>
      </c>
    </row>
    <row r="52" spans="1:11" x14ac:dyDescent="0.3">
      <c r="C52">
        <v>3000</v>
      </c>
      <c r="D52">
        <v>3000</v>
      </c>
      <c r="E52">
        <v>2400</v>
      </c>
      <c r="H52">
        <v>3000</v>
      </c>
      <c r="I52">
        <v>3000</v>
      </c>
      <c r="K52">
        <f>SUM(C52:J52)</f>
        <v>14400</v>
      </c>
    </row>
    <row r="53" spans="1:11" x14ac:dyDescent="0.3">
      <c r="K53">
        <f>K51-K52</f>
        <v>720</v>
      </c>
    </row>
  </sheetData>
  <mergeCells count="48">
    <mergeCell ref="AP41:AP42"/>
    <mergeCell ref="B41:F41"/>
    <mergeCell ref="G41:K41"/>
    <mergeCell ref="L41:P41"/>
    <mergeCell ref="Q41:U41"/>
    <mergeCell ref="V41:Y41"/>
    <mergeCell ref="Z41:Z42"/>
    <mergeCell ref="AA41:AB41"/>
    <mergeCell ref="AC41:AF41"/>
    <mergeCell ref="AG41:AH41"/>
    <mergeCell ref="AI41:AJ41"/>
    <mergeCell ref="AK41:AO41"/>
    <mergeCell ref="AP36:AP37"/>
    <mergeCell ref="B36:F36"/>
    <mergeCell ref="G36:K36"/>
    <mergeCell ref="L36:P36"/>
    <mergeCell ref="Q36:U36"/>
    <mergeCell ref="V36:Y36"/>
    <mergeCell ref="Z36:Z37"/>
    <mergeCell ref="AA36:AB36"/>
    <mergeCell ref="AC36:AF36"/>
    <mergeCell ref="AG36:AH36"/>
    <mergeCell ref="AI36:AJ36"/>
    <mergeCell ref="AK36:AO36"/>
    <mergeCell ref="AP22:AP23"/>
    <mergeCell ref="B22:F22"/>
    <mergeCell ref="G22:K22"/>
    <mergeCell ref="L22:P22"/>
    <mergeCell ref="Q22:U22"/>
    <mergeCell ref="V22:Y22"/>
    <mergeCell ref="Z22:Z23"/>
    <mergeCell ref="AA22:AB22"/>
    <mergeCell ref="AC22:AF22"/>
    <mergeCell ref="AG22:AH22"/>
    <mergeCell ref="AI22:AJ22"/>
    <mergeCell ref="AK22:AO22"/>
    <mergeCell ref="AP1:AP2"/>
    <mergeCell ref="B1:F1"/>
    <mergeCell ref="G1:K1"/>
    <mergeCell ref="L1:P1"/>
    <mergeCell ref="Q1:U1"/>
    <mergeCell ref="V1:Y1"/>
    <mergeCell ref="Z1:Z2"/>
    <mergeCell ref="AA1:AB1"/>
    <mergeCell ref="AC1:AF1"/>
    <mergeCell ref="AG1:AH1"/>
    <mergeCell ref="AI1:AJ1"/>
    <mergeCell ref="AK1:AO1"/>
  </mergeCells>
  <phoneticPr fontId="8" type="noConversion"/>
  <conditionalFormatting sqref="B3:B21 G4:G5 C5:E5 F5:F6 M7:N7 D7:E9 G7:G11 M8:M17 F9:F11 D13:G13 D16:E16 F16:G18 O19:Q19 O21:Q21 B24:B35 S33 B43:B46">
    <cfRule type="containsText" dxfId="422" priority="606" operator="containsText" text="V">
      <formula>NOT(ISERROR(SEARCH("V",B3)))</formula>
    </cfRule>
    <cfRule type="containsText" dxfId="421" priority="609" operator="containsText" text="PSG">
      <formula>NOT(ISERROR(SEARCH("PSG",B3)))</formula>
    </cfRule>
    <cfRule type="containsText" dxfId="420" priority="608" operator="containsText" text="Susp">
      <formula>NOT(ISERROR(SEARCH("Susp",B3)))</formula>
    </cfRule>
    <cfRule type="containsText" dxfId="419" priority="607" operator="containsText" text="n/a">
      <formula>NOT(ISERROR(SEARCH("n/a",B3)))</formula>
    </cfRule>
    <cfRule type="containsText" dxfId="418" priority="610" operator="containsText" text="F">
      <formula>NOT(ISERROR(SEARCH("F",B3)))</formula>
    </cfRule>
  </conditionalFormatting>
  <conditionalFormatting sqref="B3:B21 S33 D7:E9 M7:N7 M8:M17 F9:F11 D16:E16 O19:Q19 O21:Q21 B24:B35 B43:B46 G4:G5 F5:F6 G7:G11 D13:G13 F16:G18 C5:E5">
    <cfRule type="containsText" dxfId="417" priority="605" operator="containsText" text="Inc">
      <formula>NOT(ISERROR(SEARCH("Inc",B3)))</formula>
    </cfRule>
  </conditionalFormatting>
  <conditionalFormatting sqref="C10:D11 U30:U35 U6:U14 S12:S14 S16 U16:U19">
    <cfRule type="containsText" dxfId="416" priority="102" operator="containsText" text="Emp">
      <formula>NOT(ISERROR(SEARCH("Emp",C6)))</formula>
    </cfRule>
    <cfRule type="containsText" dxfId="415" priority="101" operator="containsText" text="Maqu">
      <formula>NOT(ISERROR(SEARCH("Maqu",C6)))</formula>
    </cfRule>
    <cfRule type="containsText" dxfId="414" priority="100" operator="containsText" text="Bend">
      <formula>NOT(ISERROR(SEARCH("Bend",C6)))</formula>
    </cfRule>
    <cfRule type="containsText" dxfId="413" priority="99" operator="containsText" text="Alim">
      <formula>NOT(ISERROR(SEARCH("Alim",C6)))</formula>
    </cfRule>
  </conditionalFormatting>
  <conditionalFormatting sqref="C11:E11">
    <cfRule type="containsText" dxfId="412" priority="91" operator="containsText" text="Maqu">
      <formula>NOT(ISERROR(SEARCH("Maqu",C11)))</formula>
    </cfRule>
    <cfRule type="containsText" dxfId="411" priority="95" operator="containsText" text="n/a">
      <formula>NOT(ISERROR(SEARCH("n/a",C11)))</formula>
    </cfRule>
    <cfRule type="containsText" dxfId="410" priority="94" operator="containsText" text="V">
      <formula>NOT(ISERROR(SEARCH("V",C11)))</formula>
    </cfRule>
    <cfRule type="containsText" dxfId="409" priority="93" operator="containsText" text="Inc">
      <formula>NOT(ISERROR(SEARCH("Inc",C11)))</formula>
    </cfRule>
    <cfRule type="containsText" dxfId="408" priority="92" operator="containsText" text="Emp">
      <formula>NOT(ISERROR(SEARCH("Emp",C11)))</formula>
    </cfRule>
    <cfRule type="containsText" dxfId="407" priority="96" operator="containsText" text="Susp">
      <formula>NOT(ISERROR(SEARCH("Susp",C11)))</formula>
    </cfRule>
    <cfRule type="containsText" dxfId="406" priority="97" operator="containsText" text="PSG">
      <formula>NOT(ISERROR(SEARCH("PSG",C11)))</formula>
    </cfRule>
    <cfRule type="containsText" dxfId="405" priority="98" operator="containsText" text="F">
      <formula>NOT(ISERROR(SEARCH("F",C11)))</formula>
    </cfRule>
    <cfRule type="containsText" dxfId="404" priority="90" operator="containsText" text="Bend">
      <formula>NOT(ISERROR(SEARCH("Bend",C11)))</formula>
    </cfRule>
    <cfRule type="containsText" dxfId="403" priority="89" operator="containsText" text="Alim">
      <formula>NOT(ISERROR(SEARCH("Alim",C11)))</formula>
    </cfRule>
  </conditionalFormatting>
  <conditionalFormatting sqref="C17:E17">
    <cfRule type="containsText" dxfId="402" priority="79" operator="containsText" text="Alim">
      <formula>NOT(ISERROR(SEARCH("Alim",C17)))</formula>
    </cfRule>
    <cfRule type="containsText" dxfId="401" priority="86" operator="containsText" text="Susp">
      <formula>NOT(ISERROR(SEARCH("Susp",C17)))</formula>
    </cfRule>
    <cfRule type="containsText" dxfId="400" priority="88" operator="containsText" text="F">
      <formula>NOT(ISERROR(SEARCH("F",C17)))</formula>
    </cfRule>
    <cfRule type="containsText" dxfId="399" priority="85" operator="containsText" text="n/a">
      <formula>NOT(ISERROR(SEARCH("n/a",C17)))</formula>
    </cfRule>
    <cfRule type="containsText" dxfId="398" priority="80" operator="containsText" text="Bend">
      <formula>NOT(ISERROR(SEARCH("Bend",C17)))</formula>
    </cfRule>
    <cfRule type="containsText" dxfId="397" priority="81" operator="containsText" text="Maqu">
      <formula>NOT(ISERROR(SEARCH("Maqu",C17)))</formula>
    </cfRule>
    <cfRule type="containsText" dxfId="396" priority="82" operator="containsText" text="Emp">
      <formula>NOT(ISERROR(SEARCH("Emp",C17)))</formula>
    </cfRule>
    <cfRule type="containsText" dxfId="395" priority="87" operator="containsText" text="PSG">
      <formula>NOT(ISERROR(SEARCH("PSG",C17)))</formula>
    </cfRule>
    <cfRule type="containsText" dxfId="394" priority="84" operator="containsText" text="V">
      <formula>NOT(ISERROR(SEARCH("V",C17)))</formula>
    </cfRule>
    <cfRule type="containsText" dxfId="393" priority="83" operator="containsText" text="Inc">
      <formula>NOT(ISERROR(SEARCH("Inc",C17)))</formula>
    </cfRule>
  </conditionalFormatting>
  <conditionalFormatting sqref="C12:G12">
    <cfRule type="containsText" dxfId="392" priority="72" operator="containsText" text="Alim">
      <formula>NOT(ISERROR(SEARCH("Alim",C12)))</formula>
    </cfRule>
    <cfRule type="containsText" dxfId="391" priority="74" operator="containsText" text="Maqu">
      <formula>NOT(ISERROR(SEARCH("Maqu",C12)))</formula>
    </cfRule>
    <cfRule type="containsText" dxfId="390" priority="73" operator="containsText" text="Emp">
      <formula>NOT(ISERROR(SEARCH("Emp",C12)))</formula>
    </cfRule>
    <cfRule type="containsText" dxfId="389" priority="71" operator="containsText" text="Bend">
      <formula>NOT(ISERROR(SEARCH("Bend",C12)))</formula>
    </cfRule>
  </conditionalFormatting>
  <conditionalFormatting sqref="C28:U28">
    <cfRule type="containsText" dxfId="388" priority="110" operator="containsText" text="Bend">
      <formula>NOT(ISERROR(SEARCH("Bend",C28)))</formula>
    </cfRule>
    <cfRule type="containsText" dxfId="387" priority="109" operator="containsText" text="Alim">
      <formula>NOT(ISERROR(SEARCH("Alim",C28)))</formula>
    </cfRule>
    <cfRule type="containsText" dxfId="386" priority="125" operator="containsText" text="n/a">
      <formula>NOT(ISERROR(SEARCH("n/a",C28)))</formula>
    </cfRule>
    <cfRule type="containsText" dxfId="385" priority="111" operator="containsText" text="Maqu">
      <formula>NOT(ISERROR(SEARCH("Maqu",C28)))</formula>
    </cfRule>
    <cfRule type="containsText" dxfId="384" priority="114" operator="containsText" text="V">
      <formula>NOT(ISERROR(SEARCH("V",C28)))</formula>
    </cfRule>
    <cfRule type="containsText" dxfId="383" priority="112" operator="containsText" text="Emp">
      <formula>NOT(ISERROR(SEARCH("Emp",C28)))</formula>
    </cfRule>
    <cfRule type="containsText" dxfId="382" priority="118" operator="containsText" text="F">
      <formula>NOT(ISERROR(SEARCH("F",C28)))</formula>
    </cfRule>
    <cfRule type="containsText" dxfId="381" priority="113" operator="containsText" text="Inc">
      <formula>NOT(ISERROR(SEARCH("Inc",C28)))</formula>
    </cfRule>
    <cfRule type="containsText" dxfId="380" priority="120" operator="containsText" text="Bend">
      <formula>NOT(ISERROR(SEARCH("Bend",C28)))</formula>
    </cfRule>
    <cfRule type="containsText" dxfId="379" priority="121" operator="containsText" text="Maqu">
      <formula>NOT(ISERROR(SEARCH("Maqu",C28)))</formula>
    </cfRule>
    <cfRule type="containsText" dxfId="378" priority="122" operator="containsText" text="Emp">
      <formula>NOT(ISERROR(SEARCH("Emp",C28)))</formula>
    </cfRule>
    <cfRule type="containsText" dxfId="377" priority="123" operator="containsText" text="Inc">
      <formula>NOT(ISERROR(SEARCH("Inc",C28)))</formula>
    </cfRule>
    <cfRule type="containsText" dxfId="376" priority="124" operator="containsText" text="V">
      <formula>NOT(ISERROR(SEARCH("V",C28)))</formula>
    </cfRule>
    <cfRule type="containsText" dxfId="375" priority="119" operator="containsText" text="Alim">
      <formula>NOT(ISERROR(SEARCH("Alim",C28)))</formula>
    </cfRule>
    <cfRule type="containsText" dxfId="374" priority="127" operator="containsText" text="PSG">
      <formula>NOT(ISERROR(SEARCH("PSG",C28)))</formula>
    </cfRule>
    <cfRule type="containsText" dxfId="373" priority="128" operator="containsText" text="F">
      <formula>NOT(ISERROR(SEARCH("F",C28)))</formula>
    </cfRule>
    <cfRule type="containsText" dxfId="372" priority="115" operator="containsText" text="n/a">
      <formula>NOT(ISERROR(SEARCH("n/a",C28)))</formula>
    </cfRule>
    <cfRule type="containsText" dxfId="371" priority="116" operator="containsText" text="Susp">
      <formula>NOT(ISERROR(SEARCH("Susp",C28)))</formula>
    </cfRule>
    <cfRule type="containsText" dxfId="370" priority="117" operator="containsText" text="PSG">
      <formula>NOT(ISERROR(SEARCH("PSG",C28)))</formula>
    </cfRule>
    <cfRule type="containsText" dxfId="369" priority="126" operator="containsText" text="Susp">
      <formula>NOT(ISERROR(SEARCH("Susp",C28)))</formula>
    </cfRule>
  </conditionalFormatting>
  <conditionalFormatting sqref="C34:U35">
    <cfRule type="containsText" dxfId="368" priority="546" operator="containsText" text="Inc">
      <formula>NOT(ISERROR(SEARCH("Inc",C34)))</formula>
    </cfRule>
    <cfRule type="containsText" dxfId="367" priority="545" operator="containsText" text="Emp">
      <formula>NOT(ISERROR(SEARCH("Emp",C34)))</formula>
    </cfRule>
    <cfRule type="containsText" dxfId="366" priority="543" operator="containsText" text="Bend">
      <formula>NOT(ISERROR(SEARCH("Bend",C34)))</formula>
    </cfRule>
    <cfRule type="containsText" dxfId="365" priority="542" operator="containsText" text="Alim">
      <formula>NOT(ISERROR(SEARCH("Alim",C34)))</formula>
    </cfRule>
    <cfRule type="containsText" dxfId="364" priority="544" operator="containsText" text="Maqu">
      <formula>NOT(ISERROR(SEARCH("Maqu",C34)))</formula>
    </cfRule>
    <cfRule type="containsText" dxfId="363" priority="556" operator="containsText" text="Inc">
      <formula>NOT(ISERROR(SEARCH("Inc",C34)))</formula>
    </cfRule>
    <cfRule type="containsText" dxfId="362" priority="561" operator="containsText" text="F">
      <formula>NOT(ISERROR(SEARCH("F",C34)))</formula>
    </cfRule>
    <cfRule type="containsText" dxfId="361" priority="560" operator="containsText" text="PSG">
      <formula>NOT(ISERROR(SEARCH("PSG",C34)))</formula>
    </cfRule>
    <cfRule type="containsText" dxfId="360" priority="559" operator="containsText" text="Susp">
      <formula>NOT(ISERROR(SEARCH("Susp",C34)))</formula>
    </cfRule>
    <cfRule type="containsText" dxfId="359" priority="558" operator="containsText" text="n/a">
      <formula>NOT(ISERROR(SEARCH("n/a",C34)))</formula>
    </cfRule>
    <cfRule type="containsText" dxfId="358" priority="557" operator="containsText" text="V">
      <formula>NOT(ISERROR(SEARCH("V",C34)))</formula>
    </cfRule>
    <cfRule type="containsText" dxfId="357" priority="555" operator="containsText" text="Emp">
      <formula>NOT(ISERROR(SEARCH("Emp",C34)))</formula>
    </cfRule>
    <cfRule type="containsText" dxfId="356" priority="554" operator="containsText" text="Maqu">
      <formula>NOT(ISERROR(SEARCH("Maqu",C34)))</formula>
    </cfRule>
    <cfRule type="containsText" dxfId="355" priority="553" operator="containsText" text="Bend">
      <formula>NOT(ISERROR(SEARCH("Bend",C34)))</formula>
    </cfRule>
    <cfRule type="containsText" dxfId="354" priority="552" operator="containsText" text="Alim">
      <formula>NOT(ISERROR(SEARCH("Alim",C34)))</formula>
    </cfRule>
    <cfRule type="containsText" dxfId="353" priority="551" operator="containsText" text="F">
      <formula>NOT(ISERROR(SEARCH("F",C34)))</formula>
    </cfRule>
    <cfRule type="containsText" dxfId="352" priority="550" operator="containsText" text="PSG">
      <formula>NOT(ISERROR(SEARCH("PSG",C34)))</formula>
    </cfRule>
    <cfRule type="containsText" dxfId="351" priority="549" operator="containsText" text="Susp">
      <formula>NOT(ISERROR(SEARCH("Susp",C34)))</formula>
    </cfRule>
    <cfRule type="containsText" dxfId="350" priority="548" operator="containsText" text="n/a">
      <formula>NOT(ISERROR(SEARCH("n/a",C34)))</formula>
    </cfRule>
    <cfRule type="containsText" dxfId="349" priority="547" operator="containsText" text="V">
      <formula>NOT(ISERROR(SEARCH("V",C34)))</formula>
    </cfRule>
  </conditionalFormatting>
  <conditionalFormatting sqref="D3:F4 I4:M4 L6:M6">
    <cfRule type="containsText" dxfId="348" priority="432" operator="containsText" text="Susp">
      <formula>NOT(ISERROR(SEARCH("Susp",D3)))</formula>
    </cfRule>
    <cfRule type="containsText" dxfId="347" priority="431" operator="containsText" text="n/a">
      <formula>NOT(ISERROR(SEARCH("n/a",D3)))</formula>
    </cfRule>
    <cfRule type="containsText" dxfId="346" priority="433" operator="containsText" text="PSG">
      <formula>NOT(ISERROR(SEARCH("PSG",D3)))</formula>
    </cfRule>
    <cfRule type="containsText" dxfId="345" priority="434" operator="containsText" text="F">
      <formula>NOT(ISERROR(SEARCH("F",D3)))</formula>
    </cfRule>
    <cfRule type="containsText" dxfId="344" priority="430" operator="containsText" text="V">
      <formula>NOT(ISERROR(SEARCH("V",D3)))</formula>
    </cfRule>
  </conditionalFormatting>
  <conditionalFormatting sqref="D3:F4 L6:M6 I4:M4 L18:Q18 R19">
    <cfRule type="containsText" dxfId="343" priority="429" operator="containsText" text="Inc">
      <formula>NOT(ISERROR(SEARCH("Inc",D3)))</formula>
    </cfRule>
  </conditionalFormatting>
  <conditionalFormatting sqref="D26:G26">
    <cfRule type="containsText" dxfId="342" priority="640" operator="containsText" text="PSG">
      <formula>NOT(ISERROR(SEARCH("PSG",D26)))</formula>
    </cfRule>
    <cfRule type="containsText" dxfId="341" priority="639" operator="containsText" text="Susp">
      <formula>NOT(ISERROR(SEARCH("Susp",D26)))</formula>
    </cfRule>
    <cfRule type="containsText" dxfId="340" priority="638" operator="containsText" text="n/a">
      <formula>NOT(ISERROR(SEARCH("n/a",D26)))</formula>
    </cfRule>
    <cfRule type="containsText" dxfId="339" priority="637" operator="containsText" text="V">
      <formula>NOT(ISERROR(SEARCH("V",D26)))</formula>
    </cfRule>
    <cfRule type="containsText" dxfId="338" priority="634" operator="containsText" text="Maqu">
      <formula>NOT(ISERROR(SEARCH("Maqu",D26)))</formula>
    </cfRule>
    <cfRule type="containsText" dxfId="337" priority="636" operator="containsText" text="Inc">
      <formula>NOT(ISERROR(SEARCH("Inc",D26)))</formula>
    </cfRule>
    <cfRule type="containsText" dxfId="336" priority="641" operator="containsText" text="F">
      <formula>NOT(ISERROR(SEARCH("F",D26)))</formula>
    </cfRule>
  </conditionalFormatting>
  <conditionalFormatting sqref="G4:G11 F6:F7 D3:F4 M6 D13:G13 F16:G18">
    <cfRule type="containsText" dxfId="335" priority="425" operator="containsText" text="Bend">
      <formula>NOT(ISERROR(SEARCH("Bend",D3)))</formula>
    </cfRule>
    <cfRule type="containsText" dxfId="334" priority="426" operator="containsText" text="Alim">
      <formula>NOT(ISERROR(SEARCH("Alim",D3)))</formula>
    </cfRule>
    <cfRule type="containsText" dxfId="333" priority="427" operator="containsText" text="Emp">
      <formula>NOT(ISERROR(SEARCH("Emp",D3)))</formula>
    </cfRule>
    <cfRule type="containsText" dxfId="332" priority="428" operator="containsText" text="Maqu">
      <formula>NOT(ISERROR(SEARCH("Maqu",D3)))</formula>
    </cfRule>
  </conditionalFormatting>
  <conditionalFormatting sqref="G19 T10:T14 T16:T17">
    <cfRule type="containsText" dxfId="331" priority="529" operator="containsText" text="Empaque">
      <formula>NOT(ISERROR(SEARCH("Empaque",G10)))</formula>
    </cfRule>
    <cfRule type="containsText" dxfId="330" priority="528" operator="containsText" text="Maquina">
      <formula>NOT(ISERROR(SEARCH("Maquina",G10)))</formula>
    </cfRule>
    <cfRule type="containsText" dxfId="329" priority="527" operator="containsText" text="Roller">
      <formula>NOT(ISERROR(SEARCH("Roller",G10)))</formula>
    </cfRule>
    <cfRule type="containsText" dxfId="328" priority="526" operator="containsText" text="Alimentador">
      <formula>NOT(ISERROR(SEARCH("Alimentador",G10)))</formula>
    </cfRule>
  </conditionalFormatting>
  <conditionalFormatting sqref="G3:N3 H4:H11 O6:R12 O16:R17 Q19:R19 Q21:R21">
    <cfRule type="containsText" dxfId="327" priority="495" operator="containsText" text="F">
      <formula>NOT(ISERROR(SEARCH("F",G3)))</formula>
    </cfRule>
    <cfRule type="containsText" dxfId="326" priority="493" operator="containsText" text="Susp">
      <formula>NOT(ISERROR(SEARCH("Susp",G3)))</formula>
    </cfRule>
    <cfRule type="containsText" dxfId="325" priority="491" operator="containsText" text="V">
      <formula>NOT(ISERROR(SEARCH("V",G3)))</formula>
    </cfRule>
    <cfRule type="containsText" dxfId="324" priority="492" operator="containsText" text="n/a">
      <formula>NOT(ISERROR(SEARCH("n/a",G3)))</formula>
    </cfRule>
    <cfRule type="containsText" dxfId="323" priority="494" operator="containsText" text="PSG">
      <formula>NOT(ISERROR(SEARCH("PSG",G3)))</formula>
    </cfRule>
  </conditionalFormatting>
  <conditionalFormatting sqref="G3:N3 O6:R12 O16:R17 Q19:R19 Q21:R21 H4:H11">
    <cfRule type="containsText" dxfId="322" priority="490" operator="containsText" text="Inc">
      <formula>NOT(ISERROR(SEARCH("Inc",G3)))</formula>
    </cfRule>
  </conditionalFormatting>
  <conditionalFormatting sqref="H25:H26 O25:R26 C30 S30 O30:R33 S32:T32 R27">
    <cfRule type="containsText" dxfId="321" priority="399" operator="containsText" text="Inc">
      <formula>NOT(ISERROR(SEARCH("Inc",C25)))</formula>
    </cfRule>
  </conditionalFormatting>
  <conditionalFormatting sqref="H25:H26 O25:R26 R27 C30 S30 O30:R33 S32:T32">
    <cfRule type="containsText" dxfId="320" priority="402" operator="containsText" text="Susp">
      <formula>NOT(ISERROR(SEARCH("Susp",C25)))</formula>
    </cfRule>
    <cfRule type="containsText" dxfId="319" priority="404" operator="containsText" text="F">
      <formula>NOT(ISERROR(SEARCH("F",C25)))</formula>
    </cfRule>
    <cfRule type="containsText" dxfId="318" priority="403" operator="containsText" text="PSG">
      <formula>NOT(ISERROR(SEARCH("PSG",C25)))</formula>
    </cfRule>
    <cfRule type="containsText" dxfId="317" priority="401" operator="containsText" text="n/a">
      <formula>NOT(ISERROR(SEARCH("n/a",C25)))</formula>
    </cfRule>
    <cfRule type="containsText" dxfId="316" priority="400" operator="containsText" text="V">
      <formula>NOT(ISERROR(SEARCH("V",C25)))</formula>
    </cfRule>
  </conditionalFormatting>
  <conditionalFormatting sqref="H4:M4 C5:F5 H5:J13 K6:L13 H16:J17 L16:L17 K16:K18">
    <cfRule type="containsText" dxfId="315" priority="75" operator="containsText" text="Bend">
      <formula>NOT(ISERROR(SEARCH("Bend",C4)))</formula>
    </cfRule>
    <cfRule type="containsText" dxfId="314" priority="76" operator="containsText" text="Alim">
      <formula>NOT(ISERROR(SEARCH("Alim",C4)))</formula>
    </cfRule>
    <cfRule type="containsText" dxfId="313" priority="77" operator="containsText" text="Emp">
      <formula>NOT(ISERROR(SEARCH("Emp",C4)))</formula>
    </cfRule>
    <cfRule type="containsText" dxfId="312" priority="78" operator="containsText" text="Maqu">
      <formula>NOT(ISERROR(SEARCH("Maqu",C4)))</formula>
    </cfRule>
  </conditionalFormatting>
  <conditionalFormatting sqref="H25:M26 M27:R27">
    <cfRule type="containsText" dxfId="311" priority="307" operator="containsText" text="Maqu">
      <formula>NOT(ISERROR(SEARCH("Maqu",H25)))</formula>
    </cfRule>
  </conditionalFormatting>
  <conditionalFormatting sqref="I5:J11 G6 K6:K13 F7 L7:L13 C12:J12 H13:J13 H16:J17 L16:L17 K16:K19 B20:U20 B21:M21 C25:G25 I25:L25 C29:I29 J29:J33 T30 D30:I32 L30:M33 S31 D33:J33 I18:J18 H19:J19 L19:M19">
    <cfRule type="containsText" dxfId="310" priority="390" operator="containsText" text="V">
      <formula>NOT(ISERROR(SEARCH("V",B5)))</formula>
    </cfRule>
  </conditionalFormatting>
  <conditionalFormatting sqref="I5:J11 G6 K6:K13 F7 L7:L13 C12:J12 H13:J13 H16:J17 L16:L17 K16:K19 I18:J18 H19:J19 L19:M19 B20:U20 B21:M21 C25:G25 I25:L25 C29:I29 J29:J33 T30 D30:I32 L30:M33 S31 D33:J33">
    <cfRule type="containsText" dxfId="309" priority="392" operator="containsText" text="Susp">
      <formula>NOT(ISERROR(SEARCH("Susp",B5)))</formula>
    </cfRule>
    <cfRule type="containsText" dxfId="308" priority="391" operator="containsText" text="n/a">
      <formula>NOT(ISERROR(SEARCH("n/a",B5)))</formula>
    </cfRule>
    <cfRule type="containsText" dxfId="307" priority="394" operator="containsText" text="F">
      <formula>NOT(ISERROR(SEARCH("F",B5)))</formula>
    </cfRule>
    <cfRule type="containsText" dxfId="306" priority="393" operator="containsText" text="PSG">
      <formula>NOT(ISERROR(SEARCH("PSG",B5)))</formula>
    </cfRule>
  </conditionalFormatting>
  <conditionalFormatting sqref="I5:J11 K6:K13 K16:K19 B21:M21 C25:G25 I25:L25 B20:U20 L7:L13 C12:J12 H13:J13 H16:J17 L16:L17 G6 F7 C29:I29 J29:J33 T30 D30:I32 L30:M33 S31 D33:J33">
    <cfRule type="containsText" dxfId="305" priority="389" operator="containsText" text="Inc">
      <formula>NOT(ISERROR(SEARCH("Inc",B5)))</formula>
    </cfRule>
  </conditionalFormatting>
  <conditionalFormatting sqref="I18:J18 E19:M19">
    <cfRule type="containsText" dxfId="304" priority="237" operator="containsText" text="Inc">
      <formula>NOT(ISERROR(SEARCH("Inc",E18)))</formula>
    </cfRule>
  </conditionalFormatting>
  <conditionalFormatting sqref="I18:J20 K19:L19">
    <cfRule type="containsText" dxfId="303" priority="229" operator="containsText" text="Bend">
      <formula>NOT(ISERROR(SEARCH("Bend",I18)))</formula>
    </cfRule>
    <cfRule type="containsText" dxfId="302" priority="228" operator="containsText" text="Alim">
      <formula>NOT(ISERROR(SEARCH("Alim",I18)))</formula>
    </cfRule>
    <cfRule type="containsText" dxfId="301" priority="231" operator="containsText" text="Emp">
      <formula>NOT(ISERROR(SEARCH("Emp",I18)))</formula>
    </cfRule>
  </conditionalFormatting>
  <conditionalFormatting sqref="I18:J20 K19:M19">
    <cfRule type="containsText" dxfId="300" priority="230" operator="containsText" text="Maqu">
      <formula>NOT(ISERROR(SEARCH("Maqu",I18)))</formula>
    </cfRule>
  </conditionalFormatting>
  <conditionalFormatting sqref="I26:K26">
    <cfRule type="containsText" dxfId="299" priority="304" operator="containsText" text="Alim">
      <formula>NOT(ISERROR(SEARCH("Alim",I26)))</formula>
    </cfRule>
    <cfRule type="containsText" dxfId="298" priority="305" operator="containsText" text="Bend">
      <formula>NOT(ISERROR(SEARCH("Bend",I26)))</formula>
    </cfRule>
    <cfRule type="containsText" dxfId="297" priority="306" operator="containsText" text="Emp">
      <formula>NOT(ISERROR(SEARCH("Emp",I26)))</formula>
    </cfRule>
  </conditionalFormatting>
  <conditionalFormatting sqref="J25:L25 D26:G26">
    <cfRule type="containsText" dxfId="296" priority="635" operator="containsText" text="Emp">
      <formula>NOT(ISERROR(SEARCH("Emp",D25)))</formula>
    </cfRule>
    <cfRule type="containsText" dxfId="295" priority="633" operator="containsText" text="Bend">
      <formula>NOT(ISERROR(SEARCH("Bend",D25)))</formula>
    </cfRule>
    <cfRule type="containsText" dxfId="294" priority="632" operator="containsText" text="Alim">
      <formula>NOT(ISERROR(SEARCH("Alim",D25)))</formula>
    </cfRule>
  </conditionalFormatting>
  <conditionalFormatting sqref="J20:U20">
    <cfRule type="containsText" dxfId="293" priority="70" operator="containsText" text="Emp">
      <formula>NOT(ISERROR(SEARCH("Emp",J20)))</formula>
    </cfRule>
    <cfRule type="containsText" dxfId="292" priority="68" operator="containsText" text="Bend">
      <formula>NOT(ISERROR(SEARCH("Bend",J20)))</formula>
    </cfRule>
    <cfRule type="containsText" dxfId="291" priority="67" operator="containsText" text="Alim">
      <formula>NOT(ISERROR(SEARCH("Alim",J20)))</formula>
    </cfRule>
    <cfRule type="containsText" dxfId="290" priority="69" operator="containsText" text="Maqu">
      <formula>NOT(ISERROR(SEARCH("Maqu",J20)))</formula>
    </cfRule>
  </conditionalFormatting>
  <conditionalFormatting sqref="K18:K19 I21:M21 C25:G25">
    <cfRule type="containsText" dxfId="289" priority="387" operator="containsText" text="Maqu">
      <formula>NOT(ISERROR(SEARCH("Maqu",C18)))</formula>
    </cfRule>
  </conditionalFormatting>
  <conditionalFormatting sqref="K18:K19 J9 K10 I21:L21 C25:G25 I25">
    <cfRule type="containsText" dxfId="288" priority="386" operator="containsText" text="Bend">
      <formula>NOT(ISERROR(SEARCH("Bend",C9)))</formula>
    </cfRule>
    <cfRule type="containsText" dxfId="287" priority="385" operator="containsText" text="Alim">
      <formula>NOT(ISERROR(SEARCH("Alim",C9)))</formula>
    </cfRule>
    <cfRule type="containsText" dxfId="286" priority="388" operator="containsText" text="Emp">
      <formula>NOT(ISERROR(SEARCH("Emp",C9)))</formula>
    </cfRule>
  </conditionalFormatting>
  <conditionalFormatting sqref="K29:U29 N30 B38:B40">
    <cfRule type="containsText" dxfId="285" priority="144" operator="containsText" text="V">
      <formula>NOT(ISERROR(SEARCH("V",B29)))</formula>
    </cfRule>
    <cfRule type="containsText" dxfId="284" priority="146" operator="containsText" text="Susp">
      <formula>NOT(ISERROR(SEARCH("Susp",B29)))</formula>
    </cfRule>
    <cfRule type="containsText" dxfId="283" priority="145" operator="containsText" text="n/a">
      <formula>NOT(ISERROR(SEARCH("n/a",B29)))</formula>
    </cfRule>
    <cfRule type="containsText" dxfId="282" priority="148" operator="containsText" text="F">
      <formula>NOT(ISERROR(SEARCH("F",B29)))</formula>
    </cfRule>
    <cfRule type="containsText" dxfId="281" priority="147" operator="containsText" text="PSG">
      <formula>NOT(ISERROR(SEARCH("PSG",B29)))</formula>
    </cfRule>
  </conditionalFormatting>
  <conditionalFormatting sqref="L19 L21">
    <cfRule type="containsText" dxfId="280" priority="652" operator="containsText" text="PSG">
      <formula>NOT(ISERROR(SEARCH("PSG",L19)))</formula>
    </cfRule>
    <cfRule type="containsText" dxfId="279" priority="650" operator="containsText" text="n/a">
      <formula>NOT(ISERROR(SEARCH("n/a",L19)))</formula>
    </cfRule>
    <cfRule type="containsText" dxfId="278" priority="631" operator="containsText" text="Inc">
      <formula>NOT(ISERROR(SEARCH("Inc",L19)))</formula>
    </cfRule>
    <cfRule type="containsText" dxfId="277" priority="653" operator="containsText" text="F">
      <formula>NOT(ISERROR(SEARCH("F",L19)))</formula>
    </cfRule>
    <cfRule type="containsText" dxfId="276" priority="651" operator="containsText" text="Susp">
      <formula>NOT(ISERROR(SEARCH("Susp",L19)))</formula>
    </cfRule>
  </conditionalFormatting>
  <conditionalFormatting sqref="L18:Q18 E19:G19 R19 L19 L21">
    <cfRule type="containsText" dxfId="275" priority="596" operator="containsText" text="V">
      <formula>NOT(ISERROR(SEARCH("V",E18)))</formula>
    </cfRule>
  </conditionalFormatting>
  <conditionalFormatting sqref="L18:Q18 E19:G19 R19">
    <cfRule type="containsText" dxfId="274" priority="600" operator="containsText" text="F">
      <formula>NOT(ISERROR(SEARCH("F",E18)))</formula>
    </cfRule>
    <cfRule type="containsText" dxfId="273" priority="599" operator="containsText" text="PSG">
      <formula>NOT(ISERROR(SEARCH("PSG",E18)))</formula>
    </cfRule>
    <cfRule type="containsText" dxfId="272" priority="598" operator="containsText" text="Susp">
      <formula>NOT(ISERROR(SEARCH("Susp",E18)))</formula>
    </cfRule>
    <cfRule type="containsText" dxfId="271" priority="597" operator="containsText" text="n/a">
      <formula>NOT(ISERROR(SEARCH("n/a",E18)))</formula>
    </cfRule>
  </conditionalFormatting>
  <conditionalFormatting sqref="M19 M21 S17 S19:T19 T21 S25:T25 S26:S27 S33:T33">
    <cfRule type="containsText" dxfId="270" priority="534" operator="containsText" text="Alimentador">
      <formula>NOT(ISERROR(SEARCH("Alimentador",M17)))</formula>
    </cfRule>
    <cfRule type="containsText" dxfId="269" priority="536" operator="containsText" text="Maquina">
      <formula>NOT(ISERROR(SEARCH("Maquina",M17)))</formula>
    </cfRule>
    <cfRule type="containsText" dxfId="268" priority="537" operator="containsText" text="Empaque">
      <formula>NOT(ISERROR(SEARCH("Empaque",M17)))</formula>
    </cfRule>
    <cfRule type="containsText" dxfId="267" priority="535" operator="containsText" text="Roller">
      <formula>NOT(ISERROR(SEARCH("Roller",M17)))</formula>
    </cfRule>
  </conditionalFormatting>
  <conditionalFormatting sqref="M25:M27 I26:L26 N27:Q27">
    <cfRule type="containsText" dxfId="266" priority="312" operator="containsText" text="PSG">
      <formula>NOT(ISERROR(SEARCH("PSG",I25)))</formula>
    </cfRule>
    <cfRule type="containsText" dxfId="265" priority="313" operator="containsText" text="F">
      <formula>NOT(ISERROR(SEARCH("F",I25)))</formula>
    </cfRule>
    <cfRule type="containsText" dxfId="264" priority="308" operator="containsText" text="Inc">
      <formula>NOT(ISERROR(SEARCH("Inc",I25)))</formula>
    </cfRule>
    <cfRule type="containsText" dxfId="263" priority="310" operator="containsText" text="n/a">
      <formula>NOT(ISERROR(SEARCH("n/a",I25)))</formula>
    </cfRule>
    <cfRule type="containsText" dxfId="262" priority="309" operator="containsText" text="V">
      <formula>NOT(ISERROR(SEARCH("V",I25)))</formula>
    </cfRule>
    <cfRule type="containsText" dxfId="261" priority="311" operator="containsText" text="Susp">
      <formula>NOT(ISERROR(SEARCH("Susp",I25)))</formula>
    </cfRule>
  </conditionalFormatting>
  <conditionalFormatting sqref="M25:M27 N27:R27">
    <cfRule type="containsText" dxfId="260" priority="334" operator="containsText" text="Alim">
      <formula>NOT(ISERROR(SEARCH("Alim",M25)))</formula>
    </cfRule>
    <cfRule type="containsText" dxfId="259" priority="335" operator="containsText" text="Bend">
      <formula>NOT(ISERROR(SEARCH("Bend",M25)))</formula>
    </cfRule>
    <cfRule type="containsText" dxfId="258" priority="337" operator="containsText" text="Emp">
      <formula>NOT(ISERROR(SEARCH("Emp",M25)))</formula>
    </cfRule>
  </conditionalFormatting>
  <conditionalFormatting sqref="M38">
    <cfRule type="containsText" dxfId="257" priority="59" operator="containsText" text="PSG">
      <formula>NOT(ISERROR(SEARCH("PSG",M38)))</formula>
    </cfRule>
    <cfRule type="containsText" dxfId="256" priority="58" operator="containsText" text="Susp">
      <formula>NOT(ISERROR(SEARCH("Susp",M38)))</formula>
    </cfRule>
    <cfRule type="containsText" dxfId="255" priority="57" operator="containsText" text="Bend">
      <formula>NOT(ISERROR(SEARCH("Bend",M38)))</formula>
    </cfRule>
    <cfRule type="containsText" dxfId="254" priority="63" operator="containsText" text="V">
      <formula>NOT(ISERROR(SEARCH("V",M38)))</formula>
    </cfRule>
    <cfRule type="containsText" dxfId="253" priority="66" operator="containsText" text="Maq">
      <formula>NOT(ISERROR(SEARCH("Maq",M38)))</formula>
    </cfRule>
    <cfRule type="containsText" dxfId="252" priority="65" operator="containsText" text="Emp">
      <formula>NOT(ISERROR(SEARCH("Emp",M38)))</formula>
    </cfRule>
    <cfRule type="containsText" dxfId="251" priority="64" operator="containsText" text="Alim">
      <formula>NOT(ISERROR(SEARCH("Alim",M38)))</formula>
    </cfRule>
    <cfRule type="containsText" dxfId="250" priority="62" operator="containsText" text="F">
      <formula>NOT(ISERROR(SEARCH("F",M38)))</formula>
    </cfRule>
    <cfRule type="containsText" dxfId="249" priority="61" operator="containsText" text="n/a">
      <formula>NOT(ISERROR(SEARCH("n/a",M38)))</formula>
    </cfRule>
    <cfRule type="containsText" dxfId="248" priority="60" operator="containsText" text="Incapacidad">
      <formula>NOT(ISERROR(SEARCH("Incapacidad",M38)))</formula>
    </cfRule>
  </conditionalFormatting>
  <conditionalFormatting sqref="N10">
    <cfRule type="containsText" dxfId="247" priority="462" operator="containsText" text="Susp">
      <formula>NOT(ISERROR(SEARCH("Susp",N10)))</formula>
    </cfRule>
    <cfRule type="containsText" dxfId="246" priority="460" operator="containsText" text="V">
      <formula>NOT(ISERROR(SEARCH("V",N10)))</formula>
    </cfRule>
    <cfRule type="containsText" dxfId="245" priority="461" operator="containsText" text="n/a">
      <formula>NOT(ISERROR(SEARCH("n/a",N10)))</formula>
    </cfRule>
    <cfRule type="containsText" dxfId="244" priority="455" operator="containsText" text="Alim">
      <formula>NOT(ISERROR(SEARCH("Alim",N10)))</formula>
    </cfRule>
    <cfRule type="containsText" dxfId="243" priority="456" operator="containsText" text="Bend">
      <formula>NOT(ISERROR(SEARCH("Bend",N10)))</formula>
    </cfRule>
    <cfRule type="containsText" dxfId="242" priority="457" operator="containsText" text="Maqu">
      <formula>NOT(ISERROR(SEARCH("Maqu",N10)))</formula>
    </cfRule>
    <cfRule type="containsText" dxfId="241" priority="458" operator="containsText" text="Emp">
      <formula>NOT(ISERROR(SEARCH("Emp",N10)))</formula>
    </cfRule>
    <cfRule type="containsText" dxfId="240" priority="459" operator="containsText" text="Inc">
      <formula>NOT(ISERROR(SEARCH("Inc",N10)))</formula>
    </cfRule>
    <cfRule type="containsText" dxfId="239" priority="463" operator="containsText" text="PSG">
      <formula>NOT(ISERROR(SEARCH("PSG",N10)))</formula>
    </cfRule>
    <cfRule type="containsText" dxfId="238" priority="464" operator="containsText" text="F">
      <formula>NOT(ISERROR(SEARCH("F",N10)))</formula>
    </cfRule>
  </conditionalFormatting>
  <conditionalFormatting sqref="N30 B38:B40 K29:U29">
    <cfRule type="containsText" dxfId="237" priority="143" operator="containsText" text="Inc">
      <formula>NOT(ISERROR(SEARCH("Inc",B29)))</formula>
    </cfRule>
  </conditionalFormatting>
  <conditionalFormatting sqref="N30 B38:B40">
    <cfRule type="containsText" dxfId="236" priority="142" operator="containsText" text="Emp">
      <formula>NOT(ISERROR(SEARCH("Emp",B30)))</formula>
    </cfRule>
    <cfRule type="containsText" dxfId="235" priority="141" operator="containsText" text="Maqu">
      <formula>NOT(ISERROR(SEARCH("Maqu",B30)))</formula>
    </cfRule>
    <cfRule type="containsText" dxfId="234" priority="140" operator="containsText" text="Bend">
      <formula>NOT(ISERROR(SEARCH("Bend",B30)))</formula>
    </cfRule>
    <cfRule type="containsText" dxfId="233" priority="139" operator="containsText" text="Alim">
      <formula>NOT(ISERROR(SEARCH("Alim",B30)))</formula>
    </cfRule>
  </conditionalFormatting>
  <conditionalFormatting sqref="N33">
    <cfRule type="containsText" dxfId="232" priority="449" operator="containsText" text="Inc">
      <formula>NOT(ISERROR(SEARCH("Inc",N33)))</formula>
    </cfRule>
    <cfRule type="containsText" dxfId="231" priority="447" operator="containsText" text="Maqu">
      <formula>NOT(ISERROR(SEARCH("Maqu",N33)))</formula>
    </cfRule>
    <cfRule type="containsText" dxfId="230" priority="445" operator="containsText" text="Alim">
      <formula>NOT(ISERROR(SEARCH("Alim",N33)))</formula>
    </cfRule>
    <cfRule type="containsText" dxfId="229" priority="450" operator="containsText" text="V">
      <formula>NOT(ISERROR(SEARCH("V",N33)))</formula>
    </cfRule>
    <cfRule type="containsText" dxfId="228" priority="451" operator="containsText" text="n/a">
      <formula>NOT(ISERROR(SEARCH("n/a",N33)))</formula>
    </cfRule>
    <cfRule type="containsText" dxfId="227" priority="452" operator="containsText" text="Susp">
      <formula>NOT(ISERROR(SEARCH("Susp",N33)))</formula>
    </cfRule>
    <cfRule type="containsText" dxfId="226" priority="453" operator="containsText" text="PSG">
      <formula>NOT(ISERROR(SEARCH("PSG",N33)))</formula>
    </cfRule>
    <cfRule type="containsText" dxfId="225" priority="446" operator="containsText" text="Bend">
      <formula>NOT(ISERROR(SEARCH("Bend",N33)))</formula>
    </cfRule>
    <cfRule type="containsText" dxfId="224" priority="448" operator="containsText" text="Emp">
      <formula>NOT(ISERROR(SEARCH("Emp",N33)))</formula>
    </cfRule>
    <cfRule type="containsText" dxfId="223" priority="454" operator="containsText" text="F">
      <formula>NOT(ISERROR(SEARCH("F",N33)))</formula>
    </cfRule>
  </conditionalFormatting>
  <conditionalFormatting sqref="N13:R15">
    <cfRule type="containsText" dxfId="222" priority="466" operator="containsText" text="Bend">
      <formula>NOT(ISERROR(SEARCH("Bend",N13)))</formula>
    </cfRule>
    <cfRule type="containsText" dxfId="221" priority="472" operator="containsText" text="Susp">
      <formula>NOT(ISERROR(SEARCH("Susp",N13)))</formula>
    </cfRule>
    <cfRule type="containsText" dxfId="220" priority="471" operator="containsText" text="n/a">
      <formula>NOT(ISERROR(SEARCH("n/a",N13)))</formula>
    </cfRule>
    <cfRule type="containsText" dxfId="219" priority="474" operator="containsText" text="F">
      <formula>NOT(ISERROR(SEARCH("F",N13)))</formula>
    </cfRule>
    <cfRule type="containsText" dxfId="218" priority="465" operator="containsText" text="Alim">
      <formula>NOT(ISERROR(SEARCH("Alim",N13)))</formula>
    </cfRule>
    <cfRule type="containsText" dxfId="217" priority="473" operator="containsText" text="PSG">
      <formula>NOT(ISERROR(SEARCH("PSG",N13)))</formula>
    </cfRule>
    <cfRule type="containsText" dxfId="216" priority="467" operator="containsText" text="Maqu">
      <formula>NOT(ISERROR(SEARCH("Maqu",N13)))</formula>
    </cfRule>
    <cfRule type="containsText" dxfId="215" priority="468" operator="containsText" text="Emp">
      <formula>NOT(ISERROR(SEARCH("Emp",N13)))</formula>
    </cfRule>
    <cfRule type="containsText" dxfId="214" priority="469" operator="containsText" text="Inc">
      <formula>NOT(ISERROR(SEARCH("Inc",N13)))</formula>
    </cfRule>
    <cfRule type="containsText" dxfId="213" priority="470" operator="containsText" text="V">
      <formula>NOT(ISERROR(SEARCH("V",N13)))</formula>
    </cfRule>
  </conditionalFormatting>
  <conditionalFormatting sqref="O19:Q19 O21:Q21 C29:I29 J29:J33 D30:I32 L30:M33 D33:J33 K29:U29 M8:M17 F9:F11 D16:E16 B24:B35 B43:B46">
    <cfRule type="containsText" dxfId="212" priority="498" operator="containsText" text="Maqu">
      <formula>NOT(ISERROR(SEARCH("Maqu",B8)))</formula>
    </cfRule>
  </conditionalFormatting>
  <conditionalFormatting sqref="O19:Q19 O21:Q21 M19 M21 C29:I29 J29:J33 D30:I32 L30:M33 D33:J33 K29:U29 M8:M17 F9:F11 D16:E16 B24:B35 B43:B46">
    <cfRule type="containsText" dxfId="211" priority="497" operator="containsText" text="Bend">
      <formula>NOT(ISERROR(SEARCH("Bend",B8)))</formula>
    </cfRule>
    <cfRule type="containsText" dxfId="210" priority="499" operator="containsText" text="Emp">
      <formula>NOT(ISERROR(SEARCH("Emp",B8)))</formula>
    </cfRule>
    <cfRule type="containsText" dxfId="209" priority="496" operator="containsText" text="Alim">
      <formula>NOT(ISERROR(SEARCH("Alim",B8)))</formula>
    </cfRule>
  </conditionalFormatting>
  <conditionalFormatting sqref="O39:Q40">
    <cfRule type="containsText" dxfId="208" priority="570" operator="containsText" text="PSG">
      <formula>NOT(ISERROR(SEARCH("PSG",O39)))</formula>
    </cfRule>
    <cfRule type="containsText" dxfId="207" priority="571" operator="containsText" text="F">
      <formula>NOT(ISERROR(SEARCH("F",O39)))</formula>
    </cfRule>
    <cfRule type="containsText" dxfId="206" priority="566" operator="containsText" text="Inc">
      <formula>NOT(ISERROR(SEARCH("Inc",O39)))</formula>
    </cfRule>
    <cfRule type="containsText" dxfId="205" priority="562" operator="containsText" text="Alim">
      <formula>NOT(ISERROR(SEARCH("Alim",O39)))</formula>
    </cfRule>
    <cfRule type="containsText" dxfId="204" priority="563" operator="containsText" text="Bend">
      <formula>NOT(ISERROR(SEARCH("Bend",O39)))</formula>
    </cfRule>
    <cfRule type="containsText" dxfId="203" priority="564" operator="containsText" text="Maqu">
      <formula>NOT(ISERROR(SEARCH("Maqu",O39)))</formula>
    </cfRule>
    <cfRule type="containsText" dxfId="202" priority="565" operator="containsText" text="Emp">
      <formula>NOT(ISERROR(SEARCH("Emp",O39)))</formula>
    </cfRule>
    <cfRule type="containsText" dxfId="201" priority="567" operator="containsText" text="V">
      <formula>NOT(ISERROR(SEARCH("V",O39)))</formula>
    </cfRule>
    <cfRule type="containsText" dxfId="200" priority="568" operator="containsText" text="n/a">
      <formula>NOT(ISERROR(SEARCH("n/a",O39)))</formula>
    </cfRule>
    <cfRule type="containsText" dxfId="199" priority="569" operator="containsText" text="Susp">
      <formula>NOT(ISERROR(SEARCH("Susp",O39)))</formula>
    </cfRule>
  </conditionalFormatting>
  <conditionalFormatting sqref="O3:U4 U21 H38 U38:U40">
    <cfRule type="containsText" dxfId="198" priority="363" operator="containsText" text="PSG">
      <formula>NOT(ISERROR(SEARCH("PSG",H3)))</formula>
    </cfRule>
    <cfRule type="containsText" dxfId="197" priority="356" operator="containsText" text="Bend">
      <formula>NOT(ISERROR(SEARCH("Bend",H3)))</formula>
    </cfRule>
    <cfRule type="containsText" dxfId="196" priority="359" operator="containsText" text="Inc">
      <formula>NOT(ISERROR(SEARCH("Inc",H3)))</formula>
    </cfRule>
    <cfRule type="containsText" dxfId="195" priority="355" operator="containsText" text="Alim">
      <formula>NOT(ISERROR(SEARCH("Alim",H3)))</formula>
    </cfRule>
    <cfRule type="containsText" dxfId="194" priority="360" operator="containsText" text="V">
      <formula>NOT(ISERROR(SEARCH("V",H3)))</formula>
    </cfRule>
    <cfRule type="containsText" dxfId="193" priority="361" operator="containsText" text="n/a">
      <formula>NOT(ISERROR(SEARCH("n/a",H3)))</formula>
    </cfRule>
    <cfRule type="containsText" dxfId="192" priority="362" operator="containsText" text="Susp">
      <formula>NOT(ISERROR(SEARCH("Susp",H3)))</formula>
    </cfRule>
    <cfRule type="containsText" dxfId="191" priority="357" operator="containsText" text="Maqu">
      <formula>NOT(ISERROR(SEARCH("Maqu",H3)))</formula>
    </cfRule>
    <cfRule type="containsText" dxfId="190" priority="358" operator="containsText" text="Emp">
      <formula>NOT(ISERROR(SEARCH("Emp",H3)))</formula>
    </cfRule>
    <cfRule type="containsText" dxfId="189" priority="364" operator="containsText" text="F">
      <formula>NOT(ISERROR(SEARCH("F",H3)))</formula>
    </cfRule>
  </conditionalFormatting>
  <conditionalFormatting sqref="Q19:R19 H19 G3:N3 O6:R12 O16:R17 Q21:R21">
    <cfRule type="containsText" dxfId="188" priority="486" operator="containsText" text="Alim">
      <formula>NOT(ISERROR(SEARCH("Alim",G3)))</formula>
    </cfRule>
    <cfRule type="containsText" dxfId="187" priority="487" operator="containsText" text="Bend">
      <formula>NOT(ISERROR(SEARCH("Bend",G3)))</formula>
    </cfRule>
    <cfRule type="containsText" dxfId="186" priority="488" operator="containsText" text="Maqu">
      <formula>NOT(ISERROR(SEARCH("Maqu",G3)))</formula>
    </cfRule>
    <cfRule type="containsText" dxfId="185" priority="489" operator="containsText" text="Emp">
      <formula>NOT(ISERROR(SEARCH("Emp",G3)))</formula>
    </cfRule>
  </conditionalFormatting>
  <conditionalFormatting sqref="R38:R39">
    <cfRule type="containsText" dxfId="184" priority="167" operator="containsText" text="Inc">
      <formula>NOT(ISERROR(SEARCH("Inc",R38)))</formula>
    </cfRule>
    <cfRule type="containsText" dxfId="183" priority="166" operator="containsText" text="Maqu">
      <formula>NOT(ISERROR(SEARCH("Maqu",R38)))</formula>
    </cfRule>
    <cfRule type="containsText" dxfId="182" priority="165" operator="containsText" text="Emp">
      <formula>NOT(ISERROR(SEARCH("Emp",R38)))</formula>
    </cfRule>
    <cfRule type="containsText" dxfId="181" priority="164" operator="containsText" text="Alim">
      <formula>NOT(ISERROR(SEARCH("Alim",R38)))</formula>
    </cfRule>
    <cfRule type="containsText" dxfId="180" priority="168" operator="containsText" text="V">
      <formula>NOT(ISERROR(SEARCH("V",R38)))</formula>
    </cfRule>
    <cfRule type="containsText" dxfId="179" priority="163" operator="containsText" text="Bend">
      <formula>NOT(ISERROR(SEARCH("Bend",R38)))</formula>
    </cfRule>
    <cfRule type="containsText" dxfId="178" priority="172" operator="containsText" text="F">
      <formula>NOT(ISERROR(SEARCH("F",R38)))</formula>
    </cfRule>
    <cfRule type="containsText" dxfId="177" priority="171" operator="containsText" text="PSG">
      <formula>NOT(ISERROR(SEARCH("PSG",R38)))</formula>
    </cfRule>
    <cfRule type="containsText" dxfId="176" priority="170" operator="containsText" text="Susp">
      <formula>NOT(ISERROR(SEARCH("Susp",R38)))</formula>
    </cfRule>
    <cfRule type="containsText" dxfId="175" priority="169" operator="containsText" text="n/a">
      <formula>NOT(ISERROR(SEARCH("n/a",R38)))</formula>
    </cfRule>
  </conditionalFormatting>
  <conditionalFormatting sqref="R19:T19 E19:G19 L18:Q18 M7:N7 D7:E9">
    <cfRule type="containsText" dxfId="174" priority="593" operator="containsText" text="Bend">
      <formula>NOT(ISERROR(SEARCH("Bend",D7)))</formula>
    </cfRule>
    <cfRule type="containsText" dxfId="173" priority="592" operator="containsText" text="Alim">
      <formula>NOT(ISERROR(SEARCH("Alim",D7)))</formula>
    </cfRule>
    <cfRule type="containsText" dxfId="172" priority="595" operator="containsText" text="Emp">
      <formula>NOT(ISERROR(SEARCH("Emp",D7)))</formula>
    </cfRule>
  </conditionalFormatting>
  <conditionalFormatting sqref="R19:T19 E19:G19 L18:Q18 M7:N7">
    <cfRule type="containsText" dxfId="171" priority="594" operator="containsText" text="Maqu">
      <formula>NOT(ISERROR(SEARCH("Maqu",E7)))</formula>
    </cfRule>
  </conditionalFormatting>
  <conditionalFormatting sqref="S10">
    <cfRule type="containsText" dxfId="170" priority="51" operator="containsText" text="Inc">
      <formula>NOT(ISERROR(SEARCH("Inc",S10)))</formula>
    </cfRule>
    <cfRule type="containsText" dxfId="169" priority="52" operator="containsText" text="V">
      <formula>NOT(ISERROR(SEARCH("V",S10)))</formula>
    </cfRule>
    <cfRule type="containsText" dxfId="168" priority="54" operator="containsText" text="Susp">
      <formula>NOT(ISERROR(SEARCH("Susp",S10)))</formula>
    </cfRule>
    <cfRule type="containsText" dxfId="167" priority="55" operator="containsText" text="PSG">
      <formula>NOT(ISERROR(SEARCH("PSG",S10)))</formula>
    </cfRule>
    <cfRule type="containsText" dxfId="166" priority="48" operator="containsText" text="Bend">
      <formula>NOT(ISERROR(SEARCH("Bend",S10)))</formula>
    </cfRule>
    <cfRule type="containsText" dxfId="165" priority="47" operator="containsText" text="Alim">
      <formula>NOT(ISERROR(SEARCH("Alim",S10)))</formula>
    </cfRule>
    <cfRule type="containsText" dxfId="164" priority="53" operator="containsText" text="n/a">
      <formula>NOT(ISERROR(SEARCH("n/a",S10)))</formula>
    </cfRule>
    <cfRule type="containsText" dxfId="163" priority="49" operator="containsText" text="Maqu">
      <formula>NOT(ISERROR(SEARCH("Maqu",S10)))</formula>
    </cfRule>
    <cfRule type="containsText" dxfId="162" priority="50" operator="containsText" text="Emp">
      <formula>NOT(ISERROR(SEARCH("Emp",S10)))</formula>
    </cfRule>
    <cfRule type="containsText" dxfId="161" priority="56" operator="containsText" text="F">
      <formula>NOT(ISERROR(SEARCH("F",S10)))</formula>
    </cfRule>
  </conditionalFormatting>
  <conditionalFormatting sqref="S17 M19 S19:T19 M21 T21 S25:T25 S26:S27 S33:T33">
    <cfRule type="containsText" dxfId="160" priority="541" operator="containsText" text="F">
      <formula>NOT(ISERROR(SEARCH("F",M17)))</formula>
    </cfRule>
    <cfRule type="containsText" dxfId="159" priority="540" operator="containsText" text="V">
      <formula>NOT(ISERROR(SEARCH("V",M17)))</formula>
    </cfRule>
    <cfRule type="containsText" dxfId="158" priority="539" operator="containsText" text="PSG">
      <formula>NOT(ISERROR(SEARCH("PSG",M17)))</formula>
    </cfRule>
    <cfRule type="containsText" dxfId="157" priority="538" operator="containsText" text="INC">
      <formula>NOT(ISERROR(SEARCH("INC",M17)))</formula>
    </cfRule>
  </conditionalFormatting>
  <conditionalFormatting sqref="S18">
    <cfRule type="containsText" dxfId="156" priority="578" operator="containsText" text="n/a">
      <formula>NOT(ISERROR(SEARCH("n/a",S18)))</formula>
    </cfRule>
    <cfRule type="containsText" dxfId="155" priority="579" operator="containsText" text="Susp">
      <formula>NOT(ISERROR(SEARCH("Susp",S18)))</formula>
    </cfRule>
    <cfRule type="containsText" dxfId="154" priority="580" operator="containsText" text="PSG">
      <formula>NOT(ISERROR(SEARCH("PSG",S18)))</formula>
    </cfRule>
    <cfRule type="containsText" dxfId="153" priority="581" operator="containsText" text="F">
      <formula>NOT(ISERROR(SEARCH("F",S18)))</formula>
    </cfRule>
    <cfRule type="containsText" dxfId="152" priority="572" operator="containsText" text="Alim">
      <formula>NOT(ISERROR(SEARCH("Alim",S18)))</formula>
    </cfRule>
    <cfRule type="containsText" dxfId="151" priority="573" operator="containsText" text="Bend">
      <formula>NOT(ISERROR(SEARCH("Bend",S18)))</formula>
    </cfRule>
    <cfRule type="containsText" dxfId="150" priority="574" operator="containsText" text="Maqu">
      <formula>NOT(ISERROR(SEARCH("Maqu",S18)))</formula>
    </cfRule>
    <cfRule type="containsText" dxfId="149" priority="575" operator="containsText" text="Emp">
      <formula>NOT(ISERROR(SEARCH("Emp",S18)))</formula>
    </cfRule>
    <cfRule type="containsText" dxfId="148" priority="576" operator="containsText" text="Inc">
      <formula>NOT(ISERROR(SEARCH("Inc",S18)))</formula>
    </cfRule>
    <cfRule type="containsText" dxfId="147" priority="577" operator="containsText" text="V">
      <formula>NOT(ISERROR(SEARCH("V",S18)))</formula>
    </cfRule>
  </conditionalFormatting>
  <conditionalFormatting sqref="S30:S32 H25:H26 O25:R26 C30 O30:R33">
    <cfRule type="containsText" dxfId="146" priority="395" operator="containsText" text="Alim">
      <formula>NOT(ISERROR(SEARCH("Alim",C25)))</formula>
    </cfRule>
    <cfRule type="containsText" dxfId="145" priority="398" operator="containsText" text="Emp">
      <formula>NOT(ISERROR(SEARCH("Emp",C25)))</formula>
    </cfRule>
    <cfRule type="containsText" dxfId="144" priority="396" operator="containsText" text="Bend">
      <formula>NOT(ISERROR(SEARCH("Bend",C25)))</formula>
    </cfRule>
  </conditionalFormatting>
  <conditionalFormatting sqref="S30:S32 O25:R26 C30 O30:R33">
    <cfRule type="containsText" dxfId="143" priority="397" operator="containsText" text="Maqu">
      <formula>NOT(ISERROR(SEARCH("Maqu",C25)))</formula>
    </cfRule>
  </conditionalFormatting>
  <conditionalFormatting sqref="S33 B3:B21 B20:H21 D7:E9">
    <cfRule type="containsText" dxfId="142" priority="603" operator="containsText" text="Maqu">
      <formula>NOT(ISERROR(SEARCH("Maqu",B3)))</formula>
    </cfRule>
  </conditionalFormatting>
  <conditionalFormatting sqref="S33 B3:B21 B20:H21">
    <cfRule type="containsText" dxfId="141" priority="604" operator="containsText" text="Emp">
      <formula>NOT(ISERROR(SEARCH("Emp",B3)))</formula>
    </cfRule>
    <cfRule type="containsText" dxfId="140" priority="601" operator="containsText" text="Alim">
      <formula>NOT(ISERROR(SEARCH("Alim",B3)))</formula>
    </cfRule>
    <cfRule type="containsText" dxfId="139" priority="602" operator="containsText" text="Bend">
      <formula>NOT(ISERROR(SEARCH("Bend",B3)))</formula>
    </cfRule>
  </conditionalFormatting>
  <conditionalFormatting sqref="S6:T8">
    <cfRule type="containsText" dxfId="138" priority="669" operator="containsText" text="F">
      <formula>NOT(ISERROR(SEARCH("F",S6)))</formula>
    </cfRule>
    <cfRule type="containsText" dxfId="137" priority="668" operator="containsText" text="V">
      <formula>NOT(ISERROR(SEARCH("V",S6)))</formula>
    </cfRule>
    <cfRule type="containsText" dxfId="136" priority="665" operator="containsText" text="Empaque">
      <formula>NOT(ISERROR(SEARCH("Empaque",S6)))</formula>
    </cfRule>
    <cfRule type="containsText" dxfId="135" priority="664" operator="containsText" text="Maquina">
      <formula>NOT(ISERROR(SEARCH("Maquina",S6)))</formula>
    </cfRule>
    <cfRule type="containsText" dxfId="134" priority="663" operator="containsText" text="Roller">
      <formula>NOT(ISERROR(SEARCH("Roller",S6)))</formula>
    </cfRule>
    <cfRule type="containsText" dxfId="133" priority="662" operator="containsText" text="Alimentador">
      <formula>NOT(ISERROR(SEARCH("Alimentador",S6)))</formula>
    </cfRule>
    <cfRule type="containsText" dxfId="132" priority="667" operator="containsText" text="PSG">
      <formula>NOT(ISERROR(SEARCH("PSG",S6)))</formula>
    </cfRule>
    <cfRule type="containsText" dxfId="131" priority="666" operator="containsText" text="INC">
      <formula>NOT(ISERROR(SEARCH("INC",S6)))</formula>
    </cfRule>
  </conditionalFormatting>
  <conditionalFormatting sqref="S9:T9">
    <cfRule type="containsText" dxfId="130" priority="161" operator="containsText" text="PSG">
      <formula>NOT(ISERROR(SEARCH("PSG",S9)))</formula>
    </cfRule>
    <cfRule type="containsText" dxfId="129" priority="160" operator="containsText" text="Susp">
      <formula>NOT(ISERROR(SEARCH("Susp",S9)))</formula>
    </cfRule>
    <cfRule type="containsText" dxfId="128" priority="159" operator="containsText" text="n/a">
      <formula>NOT(ISERROR(SEARCH("n/a",S9)))</formula>
    </cfRule>
    <cfRule type="containsText" dxfId="127" priority="158" operator="containsText" text="V">
      <formula>NOT(ISERROR(SEARCH("V",S9)))</formula>
    </cfRule>
    <cfRule type="containsText" dxfId="126" priority="157" operator="containsText" text="Inc">
      <formula>NOT(ISERROR(SEARCH("Inc",S9)))</formula>
    </cfRule>
    <cfRule type="containsText" dxfId="125" priority="156" operator="containsText" text="Emp">
      <formula>NOT(ISERROR(SEARCH("Emp",S9)))</formula>
    </cfRule>
    <cfRule type="containsText" dxfId="124" priority="154" operator="containsText" text="Bend">
      <formula>NOT(ISERROR(SEARCH("Bend",S9)))</formula>
    </cfRule>
    <cfRule type="containsText" dxfId="123" priority="153" operator="containsText" text="Alim">
      <formula>NOT(ISERROR(SEARCH("Alim",S9)))</formula>
    </cfRule>
    <cfRule type="containsText" dxfId="122" priority="162" operator="containsText" text="F">
      <formula>NOT(ISERROR(SEARCH("F",S9)))</formula>
    </cfRule>
    <cfRule type="containsText" dxfId="121" priority="155" operator="containsText" text="Maqu">
      <formula>NOT(ISERROR(SEARCH("Maqu",S9)))</formula>
    </cfRule>
  </conditionalFormatting>
  <conditionalFormatting sqref="S19:T19 S21:T21">
    <cfRule type="containsText" dxfId="120" priority="687" operator="containsText" text="PSG">
      <formula>NOT(ISERROR(SEARCH("PSG",S19)))</formula>
    </cfRule>
    <cfRule type="containsText" dxfId="119" priority="626" operator="containsText" text="V">
      <formula>NOT(ISERROR(SEARCH("V",S19)))</formula>
    </cfRule>
    <cfRule type="containsText" dxfId="118" priority="630" operator="containsText" text="F">
      <formula>NOT(ISERROR(SEARCH("F",S19)))</formula>
    </cfRule>
    <cfRule type="containsText" dxfId="117" priority="629" operator="containsText" text="PSG">
      <formula>NOT(ISERROR(SEARCH("PSG",S19)))</formula>
    </cfRule>
    <cfRule type="containsText" dxfId="116" priority="688" operator="containsText" text="F">
      <formula>NOT(ISERROR(SEARCH("F",S19)))</formula>
    </cfRule>
    <cfRule type="containsText" dxfId="115" priority="627" operator="containsText" text="n/a">
      <formula>NOT(ISERROR(SEARCH("n/a",S19)))</formula>
    </cfRule>
    <cfRule type="containsText" dxfId="114" priority="628" operator="containsText" text="Susp">
      <formula>NOT(ISERROR(SEARCH("Susp",S19)))</formula>
    </cfRule>
    <cfRule type="containsText" dxfId="113" priority="679" operator="containsText" text="Alim">
      <formula>NOT(ISERROR(SEARCH("Alim",S19)))</formula>
    </cfRule>
    <cfRule type="containsText" dxfId="112" priority="680" operator="containsText" text="Bend">
      <formula>NOT(ISERROR(SEARCH("Bend",S19)))</formula>
    </cfRule>
    <cfRule type="containsText" dxfId="111" priority="681" operator="containsText" text="Maqu">
      <formula>NOT(ISERROR(SEARCH("Maqu",S19)))</formula>
    </cfRule>
    <cfRule type="containsText" dxfId="110" priority="682" operator="containsText" text="Emp">
      <formula>NOT(ISERROR(SEARCH("Emp",S19)))</formula>
    </cfRule>
    <cfRule type="containsText" dxfId="109" priority="683" operator="containsText" text="Inc">
      <formula>NOT(ISERROR(SEARCH("Inc",S19)))</formula>
    </cfRule>
    <cfRule type="containsText" dxfId="108" priority="684" operator="containsText" text="V">
      <formula>NOT(ISERROR(SEARCH("V",S19)))</formula>
    </cfRule>
    <cfRule type="containsText" dxfId="107" priority="685" operator="containsText" text="n/a">
      <formula>NOT(ISERROR(SEARCH("n/a",S19)))</formula>
    </cfRule>
    <cfRule type="containsText" dxfId="106" priority="686" operator="containsText" text="Susp">
      <formula>NOT(ISERROR(SEARCH("Susp",S19)))</formula>
    </cfRule>
  </conditionalFormatting>
  <conditionalFormatting sqref="S21:T21 S19:T19">
    <cfRule type="containsText" dxfId="105" priority="625" operator="containsText" text="Inc">
      <formula>NOT(ISERROR(SEARCH("Inc",S19)))</formula>
    </cfRule>
  </conditionalFormatting>
  <conditionalFormatting sqref="S21:T21">
    <cfRule type="containsText" dxfId="104" priority="621" operator="containsText" text="Alim">
      <formula>NOT(ISERROR(SEARCH("Alim",S21)))</formula>
    </cfRule>
    <cfRule type="containsText" dxfId="103" priority="622" operator="containsText" text="Bend">
      <formula>NOT(ISERROR(SEARCH("Bend",S21)))</formula>
    </cfRule>
    <cfRule type="containsText" dxfId="102" priority="624" operator="containsText" text="Emp">
      <formula>NOT(ISERROR(SEARCH("Emp",S21)))</formula>
    </cfRule>
    <cfRule type="containsText" dxfId="101" priority="623" operator="containsText" text="Maqu">
      <formula>NOT(ISERROR(SEARCH("Maqu",S21)))</formula>
    </cfRule>
  </conditionalFormatting>
  <conditionalFormatting sqref="S39:T40">
    <cfRule type="containsText" dxfId="100" priority="644" operator="containsText" text="Maquina">
      <formula>NOT(ISERROR(SEARCH("Maquina",S39)))</formula>
    </cfRule>
    <cfRule type="containsText" dxfId="99" priority="645" operator="containsText" text="Empaque">
      <formula>NOT(ISERROR(SEARCH("Empaque",S39)))</formula>
    </cfRule>
    <cfRule type="containsText" dxfId="98" priority="646" operator="containsText" text="INC">
      <formula>NOT(ISERROR(SEARCH("INC",S39)))</formula>
    </cfRule>
    <cfRule type="containsText" dxfId="97" priority="647" operator="containsText" text="PSG">
      <formula>NOT(ISERROR(SEARCH("PSG",S39)))</formula>
    </cfRule>
    <cfRule type="containsText" dxfId="96" priority="648" operator="containsText" text="V">
      <formula>NOT(ISERROR(SEARCH("V",S39)))</formula>
    </cfRule>
    <cfRule type="containsText" dxfId="95" priority="649" operator="containsText" text="F">
      <formula>NOT(ISERROR(SEARCH("F",S39)))</formula>
    </cfRule>
    <cfRule type="containsText" dxfId="94" priority="643" operator="containsText" text="Roller">
      <formula>NOT(ISERROR(SEARCH("Roller",S39)))</formula>
    </cfRule>
    <cfRule type="containsText" dxfId="93" priority="642" operator="containsText" text="Alimentador">
      <formula>NOT(ISERROR(SEARCH("Alimentador",S39)))</formula>
    </cfRule>
  </conditionalFormatting>
  <conditionalFormatting sqref="T10:T14 T16:T17 G19">
    <cfRule type="containsText" dxfId="92" priority="533" operator="containsText" text="F">
      <formula>NOT(ISERROR(SEARCH("F",G10)))</formula>
    </cfRule>
    <cfRule type="containsText" dxfId="91" priority="532" operator="containsText" text="V">
      <formula>NOT(ISERROR(SEARCH("V",G10)))</formula>
    </cfRule>
    <cfRule type="containsText" dxfId="90" priority="531" operator="containsText" text="PSG">
      <formula>NOT(ISERROR(SEARCH("PSG",G10)))</formula>
    </cfRule>
    <cfRule type="containsText" dxfId="89" priority="530" operator="containsText" text="INC">
      <formula>NOT(ISERROR(SEARCH("INC",G10)))</formula>
    </cfRule>
  </conditionalFormatting>
  <conditionalFormatting sqref="T26:T27">
    <cfRule type="containsText" dxfId="88" priority="510" operator="containsText" text="Inc">
      <formula>NOT(ISERROR(SEARCH("Inc",T26)))</formula>
    </cfRule>
    <cfRule type="containsText" dxfId="87" priority="511" operator="containsText" text="V">
      <formula>NOT(ISERROR(SEARCH("V",T26)))</formula>
    </cfRule>
    <cfRule type="containsText" dxfId="86" priority="512" operator="containsText" text="n/a">
      <formula>NOT(ISERROR(SEARCH("n/a",T26)))</formula>
    </cfRule>
    <cfRule type="containsText" dxfId="85" priority="513" operator="containsText" text="Susp">
      <formula>NOT(ISERROR(SEARCH("Susp",T26)))</formula>
    </cfRule>
    <cfRule type="containsText" dxfId="84" priority="514" operator="containsText" text="PSG">
      <formula>NOT(ISERROR(SEARCH("PSG",T26)))</formula>
    </cfRule>
    <cfRule type="containsText" dxfId="83" priority="515" operator="containsText" text="F">
      <formula>NOT(ISERROR(SEARCH("F",T26)))</formula>
    </cfRule>
    <cfRule type="containsText" dxfId="82" priority="507" operator="containsText" text="Bend">
      <formula>NOT(ISERROR(SEARCH("Bend",T26)))</formula>
    </cfRule>
    <cfRule type="containsText" dxfId="81" priority="508" operator="containsText" text="Maqu">
      <formula>NOT(ISERROR(SEARCH("Maqu",T26)))</formula>
    </cfRule>
    <cfRule type="containsText" dxfId="80" priority="506" operator="containsText" text="Alim">
      <formula>NOT(ISERROR(SEARCH("Alim",T26)))</formula>
    </cfRule>
    <cfRule type="containsText" dxfId="79" priority="509" operator="containsText" text="Emp">
      <formula>NOT(ISERROR(SEARCH("Emp",T26)))</formula>
    </cfRule>
  </conditionalFormatting>
  <conditionalFormatting sqref="T30 L26">
    <cfRule type="containsText" dxfId="78" priority="582" operator="containsText" text="Alim">
      <formula>NOT(ISERROR(SEARCH("Alim",L26)))</formula>
    </cfRule>
    <cfRule type="containsText" dxfId="77" priority="585" operator="containsText" text="Emp">
      <formula>NOT(ISERROR(SEARCH("Emp",L26)))</formula>
    </cfRule>
    <cfRule type="containsText" dxfId="76" priority="583" operator="containsText" text="Bend">
      <formula>NOT(ISERROR(SEARCH("Bend",L26)))</formula>
    </cfRule>
  </conditionalFormatting>
  <conditionalFormatting sqref="T30">
    <cfRule type="containsText" dxfId="75" priority="584" operator="containsText" text="Maqu">
      <formula>NOT(ISERROR(SEARCH("Maqu",T30)))</formula>
    </cfRule>
  </conditionalFormatting>
  <conditionalFormatting sqref="T31">
    <cfRule type="containsText" dxfId="74" priority="656" operator="containsText" text="Maquina">
      <formula>NOT(ISERROR(SEARCH("Maquina",T31)))</formula>
    </cfRule>
    <cfRule type="containsText" dxfId="73" priority="657" operator="containsText" text="Empaque">
      <formula>NOT(ISERROR(SEARCH("Empaque",T31)))</formula>
    </cfRule>
    <cfRule type="containsText" dxfId="72" priority="658" operator="containsText" text="INC">
      <formula>NOT(ISERROR(SEARCH("INC",T31)))</formula>
    </cfRule>
    <cfRule type="containsText" dxfId="71" priority="659" operator="containsText" text="PSG">
      <formula>NOT(ISERROR(SEARCH("PSG",T31)))</formula>
    </cfRule>
    <cfRule type="containsText" dxfId="70" priority="660" operator="containsText" text="V">
      <formula>NOT(ISERROR(SEARCH("V",T31)))</formula>
    </cfRule>
    <cfRule type="containsText" dxfId="69" priority="661" operator="containsText" text="F">
      <formula>NOT(ISERROR(SEARCH("F",T31)))</formula>
    </cfRule>
    <cfRule type="containsText" dxfId="68" priority="654" operator="containsText" text="Alimentador">
      <formula>NOT(ISERROR(SEARCH("Alimentador",T31)))</formula>
    </cfRule>
    <cfRule type="containsText" dxfId="67" priority="655" operator="containsText" text="Roller">
      <formula>NOT(ISERROR(SEARCH("Roller",T31)))</formula>
    </cfRule>
  </conditionalFormatting>
  <conditionalFormatting sqref="T32:U32">
    <cfRule type="containsText" dxfId="66" priority="37" operator="containsText" text="Alim">
      <formula>NOT(ISERROR(SEARCH("Alim",T32)))</formula>
    </cfRule>
    <cfRule type="containsText" dxfId="65" priority="39" operator="containsText" text="Maqu">
      <formula>NOT(ISERROR(SEARCH("Maqu",T32)))</formula>
    </cfRule>
    <cfRule type="containsText" dxfId="64" priority="40" operator="containsText" text="Emp">
      <formula>NOT(ISERROR(SEARCH("Emp",T32)))</formula>
    </cfRule>
    <cfRule type="containsText" dxfId="63" priority="38" operator="containsText" text="Bend">
      <formula>NOT(ISERROR(SEARCH("Bend",T32)))</formula>
    </cfRule>
  </conditionalFormatting>
  <conditionalFormatting sqref="U6:U14 C10:D11 S12:S14 S16 U16:U19 U30:U35">
    <cfRule type="containsText" dxfId="62" priority="106" operator="containsText" text="Susp">
      <formula>NOT(ISERROR(SEARCH("Susp",C6)))</formula>
    </cfRule>
    <cfRule type="containsText" dxfId="61" priority="107" operator="containsText" text="PSG">
      <formula>NOT(ISERROR(SEARCH("PSG",C6)))</formula>
    </cfRule>
    <cfRule type="containsText" dxfId="60" priority="108" operator="containsText" text="F">
      <formula>NOT(ISERROR(SEARCH("F",C6)))</formula>
    </cfRule>
    <cfRule type="containsText" dxfId="59" priority="103" operator="containsText" text="Inc">
      <formula>NOT(ISERROR(SEARCH("Inc",C6)))</formula>
    </cfRule>
    <cfRule type="containsText" dxfId="58" priority="104" operator="containsText" text="V">
      <formula>NOT(ISERROR(SEARCH("V",C6)))</formula>
    </cfRule>
    <cfRule type="containsText" dxfId="57" priority="105" operator="containsText" text="n/a">
      <formula>NOT(ISERROR(SEARCH("n/a",C6)))</formula>
    </cfRule>
  </conditionalFormatting>
  <conditionalFormatting sqref="U25:U27">
    <cfRule type="containsText" dxfId="56" priority="319" operator="containsText" text="V">
      <formula>NOT(ISERROR(SEARCH("V",U25)))</formula>
    </cfRule>
    <cfRule type="containsText" dxfId="55" priority="317" operator="containsText" text="Emp">
      <formula>NOT(ISERROR(SEARCH("Emp",U25)))</formula>
    </cfRule>
    <cfRule type="containsText" dxfId="54" priority="316" operator="containsText" text="Maqu">
      <formula>NOT(ISERROR(SEARCH("Maqu",U25)))</formula>
    </cfRule>
    <cfRule type="containsText" dxfId="53" priority="315" operator="containsText" text="Bend">
      <formula>NOT(ISERROR(SEARCH("Bend",U25)))</formula>
    </cfRule>
    <cfRule type="containsText" dxfId="52" priority="314" operator="containsText" text="Alim">
      <formula>NOT(ISERROR(SEARCH("Alim",U25)))</formula>
    </cfRule>
    <cfRule type="containsText" dxfId="51" priority="320" operator="containsText" text="n/a">
      <formula>NOT(ISERROR(SEARCH("n/a",U25)))</formula>
    </cfRule>
    <cfRule type="containsText" dxfId="50" priority="323" operator="containsText" text="F">
      <formula>NOT(ISERROR(SEARCH("F",U25)))</formula>
    </cfRule>
    <cfRule type="containsText" dxfId="49" priority="318" operator="containsText" text="Inc">
      <formula>NOT(ISERROR(SEARCH("Inc",U25)))</formula>
    </cfRule>
    <cfRule type="containsText" dxfId="48" priority="322" operator="containsText" text="PSG">
      <formula>NOT(ISERROR(SEARCH("PSG",U25)))</formula>
    </cfRule>
    <cfRule type="containsText" dxfId="47" priority="321" operator="containsText" text="Susp">
      <formula>NOT(ISERROR(SEARCH("Susp",U25)))</formula>
    </cfRule>
  </conditionalFormatting>
  <conditionalFormatting sqref="U32">
    <cfRule type="containsText" dxfId="46" priority="32" operator="containsText" text="V">
      <formula>NOT(ISERROR(SEARCH("V",U32)))</formula>
    </cfRule>
    <cfRule type="containsText" dxfId="45" priority="30" operator="containsText" text="Emp">
      <formula>NOT(ISERROR(SEARCH("Emp",U32)))</formula>
    </cfRule>
    <cfRule type="containsText" dxfId="44" priority="41" operator="containsText" text="Inc">
      <formula>NOT(ISERROR(SEARCH("Inc",U32)))</formula>
    </cfRule>
    <cfRule type="containsText" dxfId="43" priority="46" operator="containsText" text="F">
      <formula>NOT(ISERROR(SEARCH("F",U32)))</formula>
    </cfRule>
    <cfRule type="containsText" dxfId="42" priority="43" operator="containsText" text="n/a">
      <formula>NOT(ISERROR(SEARCH("n/a",U32)))</formula>
    </cfRule>
    <cfRule type="containsText" dxfId="41" priority="31" operator="containsText" text="Inc">
      <formula>NOT(ISERROR(SEARCH("Inc",U32)))</formula>
    </cfRule>
    <cfRule type="containsText" dxfId="40" priority="33" operator="containsText" text="n/a">
      <formula>NOT(ISERROR(SEARCH("n/a",U32)))</formula>
    </cfRule>
    <cfRule type="containsText" dxfId="39" priority="34" operator="containsText" text="Susp">
      <formula>NOT(ISERROR(SEARCH("Susp",U32)))</formula>
    </cfRule>
    <cfRule type="containsText" dxfId="38" priority="27" operator="containsText" text="Alim">
      <formula>NOT(ISERROR(SEARCH("Alim",U32)))</formula>
    </cfRule>
    <cfRule type="containsText" dxfId="37" priority="35" operator="containsText" text="PSG">
      <formula>NOT(ISERROR(SEARCH("PSG",U32)))</formula>
    </cfRule>
    <cfRule type="containsText" dxfId="36" priority="44" operator="containsText" text="Susp">
      <formula>NOT(ISERROR(SEARCH("Susp",U32)))</formula>
    </cfRule>
    <cfRule type="containsText" dxfId="35" priority="45" operator="containsText" text="PSG">
      <formula>NOT(ISERROR(SEARCH("PSG",U32)))</formula>
    </cfRule>
    <cfRule type="containsText" dxfId="34" priority="36" operator="containsText" text="F">
      <formula>NOT(ISERROR(SEARCH("F",U32)))</formula>
    </cfRule>
    <cfRule type="containsText" dxfId="33" priority="28" operator="containsText" text="Bend">
      <formula>NOT(ISERROR(SEARCH("Bend",U32)))</formula>
    </cfRule>
    <cfRule type="containsText" dxfId="32" priority="29" operator="containsText" text="Maqu">
      <formula>NOT(ISERROR(SEARCH("Maqu",U32)))</formula>
    </cfRule>
    <cfRule type="containsText" dxfId="31" priority="42" operator="containsText" text="V">
      <formula>NOT(ISERROR(SEARCH("V",U32)))</formula>
    </cfRule>
  </conditionalFormatting>
  <conditionalFormatting sqref="G51">
    <cfRule type="containsText" dxfId="25" priority="22" operator="containsText" text="V">
      <formula>NOT(ISERROR(SEARCH("V",G51)))</formula>
    </cfRule>
    <cfRule type="containsText" dxfId="22" priority="23" operator="containsText" text="n/a">
      <formula>NOT(ISERROR(SEARCH("n/a",G51)))</formula>
    </cfRule>
    <cfRule type="containsText" dxfId="23" priority="24" operator="containsText" text="Susp">
      <formula>NOT(ISERROR(SEARCH("Susp",G51)))</formula>
    </cfRule>
    <cfRule type="containsText" dxfId="24" priority="25" operator="containsText" text="PSG">
      <formula>NOT(ISERROR(SEARCH("PSG",G51)))</formula>
    </cfRule>
    <cfRule type="containsText" dxfId="21" priority="26" operator="containsText" text="F">
      <formula>NOT(ISERROR(SEARCH("F",G51)))</formula>
    </cfRule>
  </conditionalFormatting>
  <conditionalFormatting sqref="G51">
    <cfRule type="containsText" dxfId="20" priority="21" operator="containsText" text="Inc">
      <formula>NOT(ISERROR(SEARCH("Inc",G51)))</formula>
    </cfRule>
  </conditionalFormatting>
  <conditionalFormatting sqref="G51">
    <cfRule type="containsText" dxfId="19" priority="11" operator="containsText" text="Bend">
      <formula>NOT(ISERROR(SEARCH("Bend",G51)))</formula>
    </cfRule>
    <cfRule type="containsText" dxfId="18" priority="12" operator="containsText" text="Alim">
      <formula>NOT(ISERROR(SEARCH("Alim",G51)))</formula>
    </cfRule>
    <cfRule type="containsText" dxfId="17" priority="13" operator="containsText" text="Emp">
      <formula>NOT(ISERROR(SEARCH("Emp",G51)))</formula>
    </cfRule>
    <cfRule type="containsText" dxfId="16" priority="14" operator="containsText" text="Maqu">
      <formula>NOT(ISERROR(SEARCH("Maqu",G51)))</formula>
    </cfRule>
  </conditionalFormatting>
  <conditionalFormatting sqref="H51">
    <cfRule type="containsText" dxfId="13" priority="16" operator="containsText" text="V">
      <formula>NOT(ISERROR(SEARCH("V",H51)))</formula>
    </cfRule>
    <cfRule type="containsText" dxfId="12" priority="17" operator="containsText" text="n/a">
      <formula>NOT(ISERROR(SEARCH("n/a",H51)))</formula>
    </cfRule>
    <cfRule type="containsText" dxfId="14" priority="18" operator="containsText" text="Susp">
      <formula>NOT(ISERROR(SEARCH("Susp",H51)))</formula>
    </cfRule>
    <cfRule type="containsText" dxfId="11" priority="19" operator="containsText" text="PSG">
      <formula>NOT(ISERROR(SEARCH("PSG",H51)))</formula>
    </cfRule>
    <cfRule type="containsText" dxfId="15" priority="20" operator="containsText" text="F">
      <formula>NOT(ISERROR(SEARCH("F",H51)))</formula>
    </cfRule>
  </conditionalFormatting>
  <conditionalFormatting sqref="H51">
    <cfRule type="containsText" dxfId="10" priority="15" operator="containsText" text="Inc">
      <formula>NOT(ISERROR(SEARCH("Inc",H51)))</formula>
    </cfRule>
  </conditionalFormatting>
  <conditionalFormatting sqref="H51:I51">
    <cfRule type="containsText" dxfId="9" priority="1" operator="containsText" text="Bend">
      <formula>NOT(ISERROR(SEARCH("Bend",H51)))</formula>
    </cfRule>
    <cfRule type="containsText" dxfId="8" priority="2" operator="containsText" text="Alim">
      <formula>NOT(ISERROR(SEARCH("Alim",H51)))</formula>
    </cfRule>
    <cfRule type="containsText" dxfId="7" priority="3" operator="containsText" text="Emp">
      <formula>NOT(ISERROR(SEARCH("Emp",H51)))</formula>
    </cfRule>
    <cfRule type="containsText" dxfId="6" priority="4" operator="containsText" text="Maqu">
      <formula>NOT(ISERROR(SEARCH("Maqu",H51)))</formula>
    </cfRule>
  </conditionalFormatting>
  <conditionalFormatting sqref="I51">
    <cfRule type="containsText" dxfId="5" priority="6" operator="containsText" text="V">
      <formula>NOT(ISERROR(SEARCH("V",I51)))</formula>
    </cfRule>
  </conditionalFormatting>
  <conditionalFormatting sqref="I51">
    <cfRule type="containsText" dxfId="3" priority="7" operator="containsText" text="n/a">
      <formula>NOT(ISERROR(SEARCH("n/a",I51)))</formula>
    </cfRule>
    <cfRule type="containsText" dxfId="4" priority="8" operator="containsText" text="Susp">
      <formula>NOT(ISERROR(SEARCH("Susp",I51)))</formula>
    </cfRule>
    <cfRule type="containsText" dxfId="1" priority="9" operator="containsText" text="PSG">
      <formula>NOT(ISERROR(SEARCH("PSG",I51)))</formula>
    </cfRule>
    <cfRule type="containsText" dxfId="2" priority="10" operator="containsText" text="F">
      <formula>NOT(ISERROR(SEARCH("F",I51)))</formula>
    </cfRule>
  </conditionalFormatting>
  <conditionalFormatting sqref="I51">
    <cfRule type="containsText" dxfId="0" priority="5" operator="containsText" text="Inc">
      <formula>NOT(ISERROR(SEARCH("Inc",I51)))</formula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78" operator="containsText" id="{39B185C5-65FB-4D6A-A8A2-1B2A5A6678B5}">
            <xm:f>NOT(ISERROR(SEARCH("-",AO3)))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AO3:AP21 AO24:AP35 AP38:AP40 AP43:AP47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0D331-DB0B-41E9-9D35-A397B59590CB}">
  <dimension ref="A2:N38"/>
  <sheetViews>
    <sheetView workbookViewId="0">
      <selection activeCell="E16" sqref="E16"/>
    </sheetView>
  </sheetViews>
  <sheetFormatPr baseColWidth="10" defaultRowHeight="14.4" x14ac:dyDescent="0.3"/>
  <cols>
    <col min="1" max="1" width="20.33203125" customWidth="1"/>
    <col min="2" max="3" width="16.5546875" customWidth="1"/>
    <col min="4" max="4" width="4" customWidth="1"/>
    <col min="5" max="6" width="16.5546875" customWidth="1"/>
    <col min="7" max="7" width="4" customWidth="1"/>
    <col min="9" max="9" width="4" customWidth="1"/>
  </cols>
  <sheetData>
    <row r="2" spans="1:14" x14ac:dyDescent="0.3">
      <c r="A2" s="32">
        <v>45505</v>
      </c>
      <c r="B2" s="33"/>
      <c r="C2" s="33"/>
      <c r="H2" s="34"/>
      <c r="I2" s="34"/>
      <c r="J2" s="34"/>
      <c r="K2" s="34"/>
      <c r="L2" s="34"/>
      <c r="M2" s="34"/>
      <c r="N2" s="34"/>
    </row>
    <row r="3" spans="1:14" x14ac:dyDescent="0.3">
      <c r="A3" s="56" t="s">
        <v>98</v>
      </c>
      <c r="B3" s="56"/>
      <c r="C3" s="56"/>
      <c r="H3" s="34"/>
      <c r="I3" s="34"/>
      <c r="J3" s="34"/>
      <c r="K3" s="34"/>
      <c r="L3" s="34"/>
      <c r="M3" s="34"/>
      <c r="N3" s="34"/>
    </row>
    <row r="4" spans="1:14" x14ac:dyDescent="0.3">
      <c r="A4" s="33" t="s">
        <v>99</v>
      </c>
      <c r="B4" s="33" t="s">
        <v>48</v>
      </c>
      <c r="C4" s="33" t="s">
        <v>100</v>
      </c>
      <c r="E4" s="33" t="s">
        <v>13</v>
      </c>
      <c r="F4" s="33" t="s">
        <v>11</v>
      </c>
      <c r="H4" s="34"/>
      <c r="I4" s="34"/>
      <c r="J4" s="34"/>
      <c r="K4" s="34"/>
      <c r="L4" s="34"/>
      <c r="M4" s="34"/>
      <c r="N4" s="34"/>
    </row>
    <row r="5" spans="1:14" x14ac:dyDescent="0.3">
      <c r="A5" s="35">
        <v>1</v>
      </c>
      <c r="B5" s="33">
        <v>2950</v>
      </c>
      <c r="C5" s="33">
        <f>B5*2</f>
        <v>5900</v>
      </c>
      <c r="E5">
        <f>B5*5</f>
        <v>14750</v>
      </c>
      <c r="F5">
        <f>3650*5</f>
        <v>18250</v>
      </c>
      <c r="H5" s="34"/>
      <c r="I5" s="34"/>
      <c r="J5" s="34"/>
      <c r="K5" s="34"/>
      <c r="L5" s="34"/>
      <c r="M5" s="34"/>
      <c r="N5" s="34"/>
    </row>
    <row r="6" spans="1:14" x14ac:dyDescent="0.3">
      <c r="A6" s="35">
        <v>1.1000000000000001</v>
      </c>
      <c r="B6" s="33">
        <v>3245</v>
      </c>
      <c r="C6" s="33">
        <f>B6*2</f>
        <v>6490</v>
      </c>
      <c r="E6">
        <f>B6*5</f>
        <v>16225</v>
      </c>
      <c r="F6">
        <f>7300*5</f>
        <v>36500</v>
      </c>
      <c r="H6" s="34"/>
      <c r="I6" s="34"/>
      <c r="J6" s="34"/>
      <c r="K6" s="34"/>
      <c r="L6" s="34"/>
      <c r="M6" s="34"/>
      <c r="N6" s="34"/>
    </row>
    <row r="7" spans="1:14" x14ac:dyDescent="0.3">
      <c r="A7" s="33" t="s">
        <v>101</v>
      </c>
      <c r="B7" s="33"/>
      <c r="C7" s="33"/>
      <c r="E7" t="s">
        <v>102</v>
      </c>
      <c r="F7" t="s">
        <v>11</v>
      </c>
      <c r="H7" s="34"/>
      <c r="I7" s="34"/>
      <c r="J7" s="34"/>
      <c r="K7" s="34"/>
      <c r="L7" s="34"/>
      <c r="M7" s="34"/>
      <c r="N7" s="34"/>
    </row>
    <row r="8" spans="1:14" x14ac:dyDescent="0.3">
      <c r="A8" s="35">
        <v>1</v>
      </c>
      <c r="B8" s="33">
        <v>2400</v>
      </c>
      <c r="C8" s="33">
        <f>B8*2</f>
        <v>4800</v>
      </c>
      <c r="E8">
        <f>B8*1</f>
        <v>2400</v>
      </c>
      <c r="F8">
        <f>3000*4</f>
        <v>12000</v>
      </c>
      <c r="H8" s="34"/>
      <c r="I8" s="34"/>
      <c r="J8" s="34"/>
      <c r="K8" s="34"/>
      <c r="L8" s="34"/>
      <c r="M8" s="34"/>
      <c r="N8" s="34"/>
    </row>
    <row r="9" spans="1:14" x14ac:dyDescent="0.3">
      <c r="A9" s="35">
        <v>1.1000000000000001</v>
      </c>
      <c r="B9" s="33">
        <v>2700</v>
      </c>
      <c r="C9" s="33">
        <f>B9*2</f>
        <v>5400</v>
      </c>
      <c r="E9">
        <f>B9*1</f>
        <v>2700</v>
      </c>
      <c r="F9">
        <f>6000*4</f>
        <v>24000</v>
      </c>
      <c r="H9" s="34"/>
      <c r="I9" s="34"/>
      <c r="J9" s="34"/>
      <c r="K9" s="34"/>
      <c r="L9" s="34"/>
      <c r="M9" s="34"/>
      <c r="N9" s="34"/>
    </row>
    <row r="10" spans="1:14" x14ac:dyDescent="0.3">
      <c r="A10" s="33"/>
      <c r="B10" s="33"/>
      <c r="C10" s="33"/>
      <c r="H10" s="34"/>
      <c r="I10" s="34"/>
      <c r="J10" s="34"/>
      <c r="K10" s="34"/>
      <c r="L10" s="34"/>
      <c r="M10" s="34"/>
      <c r="N10" s="34"/>
    </row>
    <row r="11" spans="1:14" x14ac:dyDescent="0.3">
      <c r="H11" s="34"/>
      <c r="I11" s="34"/>
      <c r="J11" s="34"/>
      <c r="K11" s="34"/>
      <c r="L11" s="34"/>
      <c r="M11" s="34"/>
      <c r="N11" s="34"/>
    </row>
    <row r="12" spans="1:14" x14ac:dyDescent="0.3">
      <c r="H12" s="34"/>
      <c r="I12" s="34"/>
      <c r="J12" s="34"/>
      <c r="K12" s="34"/>
      <c r="L12" s="34"/>
      <c r="M12" s="34"/>
      <c r="N12" s="34"/>
    </row>
    <row r="13" spans="1:14" x14ac:dyDescent="0.3">
      <c r="H13" s="34"/>
      <c r="I13" s="34"/>
      <c r="J13" s="34"/>
      <c r="K13" s="34"/>
      <c r="L13" s="34"/>
      <c r="M13" s="34"/>
      <c r="N13" s="34"/>
    </row>
    <row r="14" spans="1:14" x14ac:dyDescent="0.3">
      <c r="A14" s="57" t="s">
        <v>103</v>
      </c>
      <c r="B14" s="57"/>
      <c r="C14" s="57"/>
      <c r="D14" s="57"/>
      <c r="E14" s="57"/>
      <c r="F14" s="57"/>
    </row>
    <row r="15" spans="1:14" x14ac:dyDescent="0.3">
      <c r="A15" s="36" t="s">
        <v>104</v>
      </c>
      <c r="B15" s="36" t="s">
        <v>105</v>
      </c>
      <c r="C15" s="36" t="s">
        <v>106</v>
      </c>
      <c r="D15" s="36"/>
      <c r="E15" s="36" t="s">
        <v>107</v>
      </c>
      <c r="F15" s="36" t="s">
        <v>108</v>
      </c>
      <c r="H15" s="5" t="s">
        <v>109</v>
      </c>
      <c r="I15" s="5"/>
      <c r="J15" s="5"/>
      <c r="K15" s="5"/>
      <c r="L15" t="s">
        <v>110</v>
      </c>
    </row>
    <row r="16" spans="1:14" x14ac:dyDescent="0.3">
      <c r="A16" s="36" t="s">
        <v>111</v>
      </c>
      <c r="B16" s="36">
        <v>3650</v>
      </c>
      <c r="C16" s="36">
        <v>4015</v>
      </c>
      <c r="D16" s="36"/>
      <c r="E16" s="36">
        <f>B16*2</f>
        <v>7300</v>
      </c>
      <c r="F16" s="36">
        <f>C16*2</f>
        <v>8030</v>
      </c>
      <c r="H16" s="5" t="s">
        <v>112</v>
      </c>
      <c r="I16" s="5"/>
      <c r="J16" s="5"/>
      <c r="K16" s="5"/>
      <c r="L16" t="s">
        <v>113</v>
      </c>
    </row>
    <row r="17" spans="1:12" x14ac:dyDescent="0.3">
      <c r="A17" s="36" t="s">
        <v>114</v>
      </c>
      <c r="B17" s="36">
        <f>B16*5</f>
        <v>18250</v>
      </c>
      <c r="C17" s="36">
        <f>C16*5</f>
        <v>20075</v>
      </c>
      <c r="D17" s="36"/>
      <c r="E17" s="36">
        <f>E16*5</f>
        <v>36500</v>
      </c>
      <c r="F17" s="36">
        <f>F16*5</f>
        <v>40150</v>
      </c>
      <c r="H17" s="5" t="s">
        <v>115</v>
      </c>
      <c r="I17" s="5"/>
      <c r="J17" s="5"/>
      <c r="K17" s="5"/>
    </row>
    <row r="18" spans="1:12" x14ac:dyDescent="0.3">
      <c r="A18" s="36" t="s">
        <v>116</v>
      </c>
      <c r="B18" s="36">
        <f>B17*4</f>
        <v>73000</v>
      </c>
      <c r="C18" s="36">
        <f>C17*4</f>
        <v>80300</v>
      </c>
      <c r="D18" s="36"/>
      <c r="E18" s="36">
        <f>E17*4</f>
        <v>146000</v>
      </c>
      <c r="F18" s="36">
        <f>F17*4</f>
        <v>160600</v>
      </c>
    </row>
    <row r="19" spans="1:12" x14ac:dyDescent="0.3">
      <c r="A19" s="36"/>
      <c r="B19" s="36"/>
      <c r="C19" s="36"/>
      <c r="D19" s="36"/>
      <c r="E19" s="36"/>
      <c r="F19" s="36"/>
    </row>
    <row r="20" spans="1:12" x14ac:dyDescent="0.3">
      <c r="A20" s="36"/>
      <c r="B20" s="37"/>
      <c r="C20" s="37"/>
      <c r="D20" s="37"/>
      <c r="E20" s="37"/>
      <c r="F20" s="36"/>
      <c r="J20" s="38"/>
    </row>
    <row r="21" spans="1:12" x14ac:dyDescent="0.3">
      <c r="A21" s="36" t="s">
        <v>101</v>
      </c>
      <c r="B21" s="36" t="s">
        <v>105</v>
      </c>
      <c r="C21" s="36" t="s">
        <v>106</v>
      </c>
      <c r="D21" s="36"/>
      <c r="E21" s="36" t="s">
        <v>107</v>
      </c>
      <c r="F21" s="36" t="s">
        <v>108</v>
      </c>
      <c r="H21" s="5" t="s">
        <v>117</v>
      </c>
      <c r="I21" s="5"/>
      <c r="J21" s="5"/>
      <c r="K21" s="5"/>
      <c r="L21" t="s">
        <v>110</v>
      </c>
    </row>
    <row r="22" spans="1:12" x14ac:dyDescent="0.3">
      <c r="A22" s="36" t="s">
        <v>111</v>
      </c>
      <c r="B22" s="36">
        <v>3000</v>
      </c>
      <c r="C22" s="36">
        <v>3300</v>
      </c>
      <c r="D22" s="36"/>
      <c r="E22" s="36">
        <f>B22*2</f>
        <v>6000</v>
      </c>
      <c r="F22" s="36">
        <f>C22*2</f>
        <v>6600</v>
      </c>
      <c r="H22" s="5" t="s">
        <v>118</v>
      </c>
      <c r="I22" s="5"/>
      <c r="J22" s="5"/>
      <c r="K22" s="5"/>
      <c r="L22" t="s">
        <v>119</v>
      </c>
    </row>
    <row r="23" spans="1:12" x14ac:dyDescent="0.3">
      <c r="A23" s="36" t="s">
        <v>114</v>
      </c>
      <c r="B23" s="36">
        <f>B22*5</f>
        <v>15000</v>
      </c>
      <c r="C23" s="36">
        <f>C22*5</f>
        <v>16500</v>
      </c>
      <c r="D23" s="36"/>
      <c r="E23" s="36">
        <f>E22*5</f>
        <v>30000</v>
      </c>
      <c r="F23" s="36">
        <f>F22*5</f>
        <v>33000</v>
      </c>
      <c r="H23" s="5" t="s">
        <v>120</v>
      </c>
      <c r="I23" s="5"/>
      <c r="J23" s="5"/>
      <c r="K23" s="5"/>
    </row>
    <row r="24" spans="1:12" x14ac:dyDescent="0.3">
      <c r="A24" s="36" t="s">
        <v>116</v>
      </c>
      <c r="B24" s="36">
        <f>B23*4</f>
        <v>60000</v>
      </c>
      <c r="C24" s="36">
        <f>C23*4</f>
        <v>66000</v>
      </c>
      <c r="D24" s="36"/>
      <c r="E24" s="36">
        <f>E23*4</f>
        <v>120000</v>
      </c>
      <c r="F24" s="36">
        <f>F23*4</f>
        <v>132000</v>
      </c>
    </row>
    <row r="27" spans="1:12" ht="14.4" customHeight="1" x14ac:dyDescent="0.3">
      <c r="A27" s="58" t="s">
        <v>121</v>
      </c>
      <c r="B27" s="58"/>
      <c r="C27" s="58"/>
      <c r="D27" s="58"/>
      <c r="E27" s="58"/>
      <c r="F27" s="58"/>
      <c r="G27" s="58"/>
      <c r="H27" s="58"/>
      <c r="I27" s="58"/>
      <c r="J27" s="58"/>
    </row>
    <row r="28" spans="1:12" x14ac:dyDescent="0.3">
      <c r="A28" s="58"/>
      <c r="B28" s="58"/>
      <c r="C28" s="58"/>
      <c r="D28" s="58"/>
      <c r="E28" s="58"/>
      <c r="F28" s="58"/>
      <c r="G28" s="58"/>
      <c r="H28" s="58"/>
      <c r="I28" s="58"/>
      <c r="J28" s="58"/>
    </row>
    <row r="29" spans="1:12" x14ac:dyDescent="0.3">
      <c r="A29" s="58"/>
      <c r="B29" s="58"/>
      <c r="C29" s="58"/>
      <c r="D29" s="58"/>
      <c r="E29" s="58"/>
      <c r="F29" s="58"/>
      <c r="G29" s="58"/>
      <c r="H29" s="58"/>
      <c r="I29" s="58"/>
      <c r="J29" s="58"/>
    </row>
    <row r="30" spans="1:12" x14ac:dyDescent="0.3">
      <c r="A30" s="39"/>
      <c r="B30" s="39"/>
      <c r="C30" s="39"/>
      <c r="D30" s="39"/>
      <c r="E30" s="39"/>
      <c r="F30" s="39"/>
      <c r="G30" s="39"/>
      <c r="H30" s="39"/>
      <c r="I30" s="39"/>
      <c r="J30" s="39"/>
    </row>
    <row r="31" spans="1:12" x14ac:dyDescent="0.3">
      <c r="A31" s="58" t="s">
        <v>122</v>
      </c>
      <c r="B31" s="58"/>
      <c r="C31" s="58"/>
      <c r="D31" s="58"/>
      <c r="E31" s="58"/>
      <c r="F31" s="58"/>
      <c r="G31" s="58"/>
      <c r="H31" s="58"/>
      <c r="I31" s="58"/>
      <c r="J31" s="58"/>
    </row>
    <row r="32" spans="1:12" x14ac:dyDescent="0.3">
      <c r="A32" s="58"/>
      <c r="B32" s="58"/>
      <c r="C32" s="58"/>
      <c r="D32" s="58"/>
      <c r="E32" s="58"/>
      <c r="F32" s="58"/>
      <c r="G32" s="58"/>
      <c r="H32" s="58"/>
      <c r="I32" s="58"/>
      <c r="J32" s="58"/>
    </row>
    <row r="33" spans="1:10" x14ac:dyDescent="0.3">
      <c r="A33" s="58"/>
      <c r="B33" s="58"/>
      <c r="C33" s="58"/>
      <c r="D33" s="58"/>
      <c r="E33" s="58"/>
      <c r="F33" s="58"/>
      <c r="G33" s="58"/>
      <c r="H33" s="58"/>
      <c r="I33" s="58"/>
      <c r="J33" s="58"/>
    </row>
    <row r="35" spans="1:10" x14ac:dyDescent="0.3">
      <c r="A35" s="40" t="s">
        <v>24</v>
      </c>
      <c r="B35" t="s">
        <v>123</v>
      </c>
    </row>
    <row r="36" spans="1:10" x14ac:dyDescent="0.3">
      <c r="A36" s="40" t="s">
        <v>31</v>
      </c>
      <c r="B36" t="s">
        <v>124</v>
      </c>
    </row>
    <row r="37" spans="1:10" x14ac:dyDescent="0.3">
      <c r="A37" s="40" t="s">
        <v>80</v>
      </c>
      <c r="B37" t="s">
        <v>125</v>
      </c>
    </row>
    <row r="38" spans="1:10" x14ac:dyDescent="0.3">
      <c r="A38" s="40" t="s">
        <v>126</v>
      </c>
      <c r="B38" t="s">
        <v>127</v>
      </c>
    </row>
  </sheetData>
  <mergeCells count="4">
    <mergeCell ref="A3:C3"/>
    <mergeCell ref="A14:F14"/>
    <mergeCell ref="A27:J29"/>
    <mergeCell ref="A31:J33"/>
  </mergeCells>
  <conditionalFormatting sqref="A35:A38">
    <cfRule type="containsText" dxfId="29" priority="1" operator="containsText" text="TXT">
      <formula>NOT(ISERROR(SEARCH("TXT",A35)))</formula>
    </cfRule>
    <cfRule type="containsText" dxfId="28" priority="2" operator="containsText" text="PSG">
      <formula>NOT(ISERROR(SEARCH("PSG",A35)))</formula>
    </cfRule>
    <cfRule type="containsText" dxfId="27" priority="3" operator="containsText" text="F">
      <formula>NOT(ISERROR(SEARCH("F",A35)))</formula>
    </cfRule>
    <cfRule type="containsText" dxfId="26" priority="4" operator="containsText" text="V">
      <formula>NOT(ISERROR(SEARCH("V",A35)))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Turno 1</vt:lpstr>
      <vt:lpstr>Turno 2</vt:lpstr>
      <vt:lpstr>Informacion de bono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 Olivo</dc:creator>
  <cp:lastModifiedBy>Alejandro  Olivo</cp:lastModifiedBy>
  <dcterms:created xsi:type="dcterms:W3CDTF">2026-04-14T21:05:51Z</dcterms:created>
  <dcterms:modified xsi:type="dcterms:W3CDTF">2026-05-06T21:34:50Z</dcterms:modified>
</cp:coreProperties>
</file>